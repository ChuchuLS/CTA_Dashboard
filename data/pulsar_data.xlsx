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6CBFCA3-4D78-423C-949F-7722420A7B66}" xr6:coauthVersionLast="36" xr6:coauthVersionMax="47" xr10:uidLastSave="{00000000-0000-0000-0000-000000000000}"/>
  <bookViews>
    <workbookView xWindow="0" yWindow="0" windowWidth="19200" windowHeight="11265" firstSheet="3" activeTab="4" xr2:uid="{00000000-000D-0000-FFFF-FFFF00000000}"/>
  </bookViews>
  <sheets>
    <sheet name="README" sheetId="1" r:id="rId1"/>
    <sheet name="Macro_GDP" sheetId="2" r:id="rId2"/>
    <sheet name="Macro_CPI" sheetId="3" r:id="rId3"/>
    <sheet name="Macro_Fiscal" sheetId="4" r:id="rId4"/>
    <sheet name="Rates_10Y" sheetId="5" r:id="rId5"/>
    <sheet name="Equity_ToT" sheetId="6" r:id="rId6"/>
    <sheet name="Equity_FCI" sheetId="7" r:id="rId7"/>
    <sheet name="Equity_EPS" sheetId="8" r:id="rId8"/>
    <sheet name="Equity_Prices" sheetId="9" r:id="rId9"/>
  </sheets>
  <calcPr calcId="191029"/>
</workbook>
</file>

<file path=xl/calcChain.xml><?xml version="1.0" encoding="utf-8"?>
<calcChain xmlns="http://schemas.openxmlformats.org/spreadsheetml/2006/main">
  <c r="A6" i="6" l="1"/>
  <c r="G6" i="8"/>
  <c r="U6" i="8"/>
  <c r="M6" i="8"/>
  <c r="S6" i="8"/>
  <c r="I6" i="8"/>
  <c r="Q6" i="8"/>
  <c r="AG6" i="8"/>
  <c r="W6" i="8"/>
  <c r="K6" i="8"/>
  <c r="A6" i="8"/>
  <c r="AE6" i="8"/>
  <c r="C6" i="8"/>
  <c r="Y6" i="8"/>
  <c r="AC6" i="8"/>
  <c r="E6" i="8"/>
  <c r="AA6" i="8"/>
  <c r="O6" i="8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6" i="9"/>
  <c r="A6" i="7"/>
  <c r="A6" i="3"/>
  <c r="F6" i="5"/>
  <c r="A6" i="2"/>
  <c r="A6" i="4"/>
  <c r="A6" i="5"/>
</calcChain>
</file>

<file path=xl/sharedStrings.xml><?xml version="1.0" encoding="utf-8"?>
<sst xmlns="http://schemas.openxmlformats.org/spreadsheetml/2006/main" count="553" uniqueCount="273">
  <si>
    <t>PULSAR · DATA WORKBOOK (v3 — consolidated)</t>
  </si>
  <si>
    <t>Macro factors (GDP, CPI, Fiscal) are country-keyed and shared by BOTH dashboards.</t>
  </si>
  <si>
    <t>WHAT CHANGED FROM v2</t>
  </si>
  <si>
    <t>• Rates_GDP + Equity_Growth   → merged into Macro_GDP   (15 countries)</t>
  </si>
  <si>
    <t>• Rates_CPI + Equity_Inflation → merged into Macro_CPI   (15 countries)</t>
  </si>
  <si>
    <t>• Rates_Budget + Equity_Deficit → merged into Macro_Fiscal (15 countries)</t>
  </si>
  <si>
    <t>• Already-filled rates values were carried over.</t>
  </si>
  <si>
    <t>• 5 new countries added for equity-only universe: HK, CN, CH, NL, EZ.</t>
  </si>
  <si>
    <t>• Rates-sheet tickers used as authority for all 10 shared countries.</t>
  </si>
  <si>
    <t>SHEET MAP</t>
  </si>
  <si>
    <t>Sheet</t>
  </si>
  <si>
    <t>Frequency</t>
  </si>
  <si>
    <t>Description</t>
  </si>
  <si>
    <t>Macro_GDP</t>
  </si>
  <si>
    <t>Quarterly</t>
  </si>
  <si>
    <t>Real GDP YoY % per country. Used by both dashboards.</t>
  </si>
  <si>
    <t>Macro_CPI</t>
  </si>
  <si>
    <t>Monthly</t>
  </si>
  <si>
    <t>Headline CPI YoY % per country. Used by both dashboards.</t>
  </si>
  <si>
    <t>Macro_Fiscal</t>
  </si>
  <si>
    <t>Annual</t>
  </si>
  <si>
    <t>Fiscal balance % GDP per country. Used by both dashboards.</t>
  </si>
  <si>
    <t>Rates_10Y</t>
  </si>
  <si>
    <t>Daily</t>
  </si>
  <si>
    <t>10Y govt yield per country + US base. Rates dashboard only.</t>
  </si>
  <si>
    <t>Equity_ToT</t>
  </si>
  <si>
    <t>Terms of trade index per region. Equity dashboard.</t>
  </si>
  <si>
    <t>Equity_FCI</t>
  </si>
  <si>
    <t>Financial conditions index per region. Equity dashboard.</t>
  </si>
  <si>
    <t>Equity_EPS</t>
  </si>
  <si>
    <t>Weekly</t>
  </si>
  <si>
    <t>Bottom-up FY1 EPS per index. Equity dashboard.</t>
  </si>
  <si>
    <t>Equity_Prices</t>
  </si>
  <si>
    <t>Index futures price. Equity dashboard.</t>
  </si>
  <si>
    <t>COUNTRY UNIVERSE (15)</t>
  </si>
  <si>
    <t>Code</t>
  </si>
  <si>
    <t>Country</t>
  </si>
  <si>
    <t>In rates universe?</t>
  </si>
  <si>
    <t>FR</t>
  </si>
  <si>
    <t>France</t>
  </si>
  <si>
    <t>yes</t>
  </si>
  <si>
    <t>JP</t>
  </si>
  <si>
    <t>Japan</t>
  </si>
  <si>
    <t>GB</t>
  </si>
  <si>
    <t>United Kingdom</t>
  </si>
  <si>
    <t>ES</t>
  </si>
  <si>
    <t>Spain</t>
  </si>
  <si>
    <t>IT</t>
  </si>
  <si>
    <t>Italy</t>
  </si>
  <si>
    <t>US</t>
  </si>
  <si>
    <t>United States</t>
  </si>
  <si>
    <t>CA</t>
  </si>
  <si>
    <t>Canada</t>
  </si>
  <si>
    <t>KR</t>
  </si>
  <si>
    <t>South Korea</t>
  </si>
  <si>
    <t>AU</t>
  </si>
  <si>
    <t>Australia</t>
  </si>
  <si>
    <t>DE</t>
  </si>
  <si>
    <t>Germany</t>
  </si>
  <si>
    <t>HK</t>
  </si>
  <si>
    <t>Hong Kong</t>
  </si>
  <si>
    <t>equity-only</t>
  </si>
  <si>
    <t>CN</t>
  </si>
  <si>
    <t>China</t>
  </si>
  <si>
    <t>CH</t>
  </si>
  <si>
    <t>Switzerland</t>
  </si>
  <si>
    <t>NL</t>
  </si>
  <si>
    <t>Netherlands</t>
  </si>
  <si>
    <t>EZ</t>
  </si>
  <si>
    <t>Eurozone</t>
  </si>
  <si>
    <t>EQUITY INDEX → COUNTRY MAP</t>
  </si>
  <si>
    <t>Index</t>
  </si>
  <si>
    <t>Name</t>
  </si>
  <si>
    <t>Macro country</t>
  </si>
  <si>
    <t>PT1</t>
  </si>
  <si>
    <t>S&amp;P/TSX</t>
  </si>
  <si>
    <t>NQ1</t>
  </si>
  <si>
    <t>Nasdaq 100</t>
  </si>
  <si>
    <t>KM1</t>
  </si>
  <si>
    <t>KOSPI</t>
  </si>
  <si>
    <t>XP1</t>
  </si>
  <si>
    <t>ASX</t>
  </si>
  <si>
    <t>HI1</t>
  </si>
  <si>
    <t>Hang Seng</t>
  </si>
  <si>
    <t>XU1</t>
  </si>
  <si>
    <t>FTSE China A50</t>
  </si>
  <si>
    <t>ES1</t>
  </si>
  <si>
    <t>S&amp;P 500</t>
  </si>
  <si>
    <t>RTY1</t>
  </si>
  <si>
    <t>Russell 2000</t>
  </si>
  <si>
    <t>SM1</t>
  </si>
  <si>
    <t>SMI</t>
  </si>
  <si>
    <t>Z 1</t>
  </si>
  <si>
    <t>FTSE 100</t>
  </si>
  <si>
    <t>EO1</t>
  </si>
  <si>
    <t>AEX</t>
  </si>
  <si>
    <t>CF1</t>
  </si>
  <si>
    <t>CAC 40</t>
  </si>
  <si>
    <t>ST1</t>
  </si>
  <si>
    <t>FTSE MIB</t>
  </si>
  <si>
    <t>NK1</t>
  </si>
  <si>
    <t>Nikkei 225</t>
  </si>
  <si>
    <t>VG1</t>
  </si>
  <si>
    <t>Euro Stoxx 50</t>
  </si>
  <si>
    <t>IB1</t>
  </si>
  <si>
    <t>IBEX 35</t>
  </si>
  <si>
    <t>GX1</t>
  </si>
  <si>
    <t>DAX</t>
  </si>
  <si>
    <t>MACRO · REAL GDP YoY (%) — Quarterly</t>
  </si>
  <si>
    <t>Frequency: Quarterly. Country-keyed.   ·   Country-keyed, used by BOTH dashboards. Rates universe in columns B–K, equity-only in L–P.</t>
  </si>
  <si>
    <t>Date</t>
  </si>
  <si>
    <t>Ticker →</t>
  </si>
  <si>
    <t>FRGEGDPY Index</t>
  </si>
  <si>
    <t>JGDPNSAQ Index</t>
  </si>
  <si>
    <t>UKGRYBZY Index</t>
  </si>
  <si>
    <t>SPNAGDPY Index</t>
  </si>
  <si>
    <t>ITPIRLYS Index</t>
  </si>
  <si>
    <t>GDP CYOY Index</t>
  </si>
  <si>
    <t>CAGDPYOY Index</t>
  </si>
  <si>
    <t>KOGDPYOY Index</t>
  </si>
  <si>
    <t>AUNAGDPY Index</t>
  </si>
  <si>
    <t>GRGDPPGY Index</t>
  </si>
  <si>
    <t>MACRO · CPI YoY (%) — Monthly</t>
  </si>
  <si>
    <t>Frequency: Monthly. Country-keyed.   ·   Country-keyed, used by BOTH dashboards. Rates universe in columns B–K, equity-only in L–P.</t>
  </si>
  <si>
    <t>FRCPIYOY Index</t>
  </si>
  <si>
    <t>JNCPIYOY Index</t>
  </si>
  <si>
    <t>UKRPCJYR Index</t>
  </si>
  <si>
    <t>SPIPCYOY Index</t>
  </si>
  <si>
    <t>ITCPNICY Index</t>
  </si>
  <si>
    <t>CPI YOY Index</t>
  </si>
  <si>
    <t>CACPIYOY Index</t>
  </si>
  <si>
    <t>KOCPIYOY Index</t>
  </si>
  <si>
    <t>ACPMYOY Index</t>
  </si>
  <si>
    <t>GRCP20YY Index</t>
  </si>
  <si>
    <t>SZCPIYOY Index</t>
  </si>
  <si>
    <t>ECCPEMUY Index</t>
  </si>
  <si>
    <t>MACRO · FISCAL BALANCE (% of GDP) — Annual</t>
  </si>
  <si>
    <t>Frequency: Annual. Country-keyed. Using EHBBxxY series across the board.   ·   Country-keyed, used by BOTH dashboards. Rates universe in columns B–K, equity-only in L–P.</t>
  </si>
  <si>
    <t>EHBBFRY Index</t>
  </si>
  <si>
    <t>EHBBJPY Index</t>
  </si>
  <si>
    <t>EHBBGBY Index</t>
  </si>
  <si>
    <t>EHBBESY Index</t>
  </si>
  <si>
    <t>EHBBITY Index</t>
  </si>
  <si>
    <t>EHBBUSY Index</t>
  </si>
  <si>
    <t>EHBBCAY Index</t>
  </si>
  <si>
    <t>EHBBKRY Index</t>
  </si>
  <si>
    <t>EHBBAUY Index</t>
  </si>
  <si>
    <t>EHBBDEY Index</t>
  </si>
  <si>
    <t>RATES · 10Y GOVT YIELD (%) — Daily close</t>
  </si>
  <si>
    <t>Daily. US is base for spread/momentum calcs.</t>
  </si>
  <si>
    <t>USGG10YR Index</t>
  </si>
  <si>
    <t>GFRN10 Index</t>
  </si>
  <si>
    <t>GJGB10 Index</t>
  </si>
  <si>
    <t>GUKG10 Index</t>
  </si>
  <si>
    <t>GSPG10YR Index</t>
  </si>
  <si>
    <t>GBTPGR10 Index</t>
  </si>
  <si>
    <t>GCAN10YR Index</t>
  </si>
  <si>
    <t>GVSK10YR Index</t>
  </si>
  <si>
    <t>GACGB10 Index</t>
  </si>
  <si>
    <t>GDBR10 Index</t>
  </si>
  <si>
    <t>EQUITY · TERMS OF TRADE — Daily index</t>
  </si>
  <si>
    <t>Frequency: Daily.   ·   Index-specific data.</t>
  </si>
  <si>
    <t>USA</t>
  </si>
  <si>
    <t>S. Korea</t>
  </si>
  <si>
    <t>UK</t>
  </si>
  <si>
    <t>EQUITY · FINANCIAL CONDITIONS INDEX — Daily</t>
  </si>
  <si>
    <t>EQUITY · BOTTOM-UP FY1 EPS — Weekly</t>
  </si>
  <si>
    <t>Frequency: Weekly (Friday). FY1 EPS estimate level.   ·   Index-specific data.</t>
  </si>
  <si>
    <t>EQUITY · INDEX FUTURES PRICE — Daily close</t>
  </si>
  <si>
    <t>Frequency: Daily. Front-month continuous.   ·   Index-specific data.</t>
  </si>
  <si>
    <t>HKGDYOY Index</t>
  </si>
  <si>
    <t>CNGDPYOY Index</t>
  </si>
  <si>
    <t>SZGDPCYY Index</t>
  </si>
  <si>
    <t>NEGDPEY Index</t>
  </si>
  <si>
    <t>EUGNEMUY Index</t>
  </si>
  <si>
    <t>HKCPIY Index</t>
  </si>
  <si>
    <t>CNCPIYOY Index</t>
  </si>
  <si>
    <t>NECPIYOY Index</t>
  </si>
  <si>
    <t>EHBBHK Index</t>
  </si>
  <si>
    <t>EHBBCNY Index</t>
  </si>
  <si>
    <t>BFCIGB INDEX</t>
  </si>
  <si>
    <t>BFCIEU INDEX</t>
  </si>
  <si>
    <t>TRY BE008 INSTEAD "PX_LAST"</t>
  </si>
  <si>
    <t>EHBBNLY Index</t>
    <phoneticPr fontId="9" type="noConversion"/>
  </si>
  <si>
    <t>EHBBEUNY Index</t>
    <phoneticPr fontId="9" type="noConversion"/>
  </si>
  <si>
    <t>EHBBCHY Index</t>
    <phoneticPr fontId="9" type="noConversion"/>
  </si>
  <si>
    <t>Using Citi Commodities Terms of Trade Index</t>
    <phoneticPr fontId="9" type="noConversion"/>
  </si>
  <si>
    <t>United Arab Emirates</t>
    <phoneticPr fontId="9" type="noConversion"/>
  </si>
  <si>
    <t>CTOTAED Index</t>
  </si>
  <si>
    <t>CTOTAOA Index</t>
  </si>
  <si>
    <t>CTOTARS Index</t>
  </si>
  <si>
    <t>CTOTAUD Index</t>
  </si>
  <si>
    <t>CTOTBHD Index</t>
  </si>
  <si>
    <t>CTOTBRL Index</t>
  </si>
  <si>
    <t>CTOTBYN Index</t>
  </si>
  <si>
    <t>CTOTCAD Index</t>
  </si>
  <si>
    <t>CTOTCDF Index</t>
  </si>
  <si>
    <t>CTOTCHF Index</t>
  </si>
  <si>
    <t>CTOTCLP Index</t>
  </si>
  <si>
    <t>CTOTCNY Index</t>
  </si>
  <si>
    <t>CTOTCOP Index</t>
  </si>
  <si>
    <t>CTOTCRC Index</t>
  </si>
  <si>
    <t>CTOTCZK Index</t>
  </si>
  <si>
    <t>CTOTDKK Index</t>
  </si>
  <si>
    <t>CTOTDOP Index</t>
  </si>
  <si>
    <t>CTOTDZD Index</t>
  </si>
  <si>
    <t>CTOTECS Index</t>
  </si>
  <si>
    <t>CTOTEGP Index</t>
  </si>
  <si>
    <t>CTOTEUR Index</t>
  </si>
  <si>
    <t>CTOTGBP Index</t>
  </si>
  <si>
    <t>CTOTGHS Index</t>
  </si>
  <si>
    <t>CTOTGTQ Index</t>
  </si>
  <si>
    <t>CTOTHKD Index</t>
  </si>
  <si>
    <t>CTOTHUF Index</t>
  </si>
  <si>
    <t>CTOTIDR Index</t>
  </si>
  <si>
    <t>CTOTILS Index</t>
  </si>
  <si>
    <t>CTOTINR Index</t>
  </si>
  <si>
    <t>CTOTJPY Index</t>
  </si>
  <si>
    <t>CTOTKES Index</t>
  </si>
  <si>
    <t>CTOTKRW Index</t>
  </si>
  <si>
    <t>CTOTKWD Index</t>
  </si>
  <si>
    <t>CTOTKZT Index</t>
  </si>
  <si>
    <t>CTOTLBP Index</t>
  </si>
  <si>
    <t>CTOTLKR Index</t>
  </si>
  <si>
    <t>CTOTMAD Index</t>
  </si>
  <si>
    <t>CTOTMMK Index</t>
  </si>
  <si>
    <t>CTOTMXN Index</t>
  </si>
  <si>
    <t>CTOTMYR Index</t>
  </si>
  <si>
    <t>CTOTNGN Index</t>
  </si>
  <si>
    <t>CTOTNOK Index</t>
  </si>
  <si>
    <t>CTOTNZD Index</t>
  </si>
  <si>
    <t>CTOTOMR Index</t>
  </si>
  <si>
    <t>CTOTPEN Index</t>
  </si>
  <si>
    <t>CTOTPHP Index</t>
  </si>
  <si>
    <t>CTOTPKR Index</t>
  </si>
  <si>
    <t>CTOTPLN Index</t>
  </si>
  <si>
    <t>CTOTQAR Index</t>
  </si>
  <si>
    <t>CTOTRON Index</t>
  </si>
  <si>
    <t>CTOTRSD Index</t>
  </si>
  <si>
    <t>CTOTRUB Index</t>
  </si>
  <si>
    <t>CTOTSAR Index</t>
  </si>
  <si>
    <t>CTOTSEK Index</t>
  </si>
  <si>
    <t>CTOTSGD Index</t>
  </si>
  <si>
    <t>CTOTTHB Index</t>
  </si>
  <si>
    <t>CTOTTND Index</t>
  </si>
  <si>
    <t>CTOTTRY Index</t>
  </si>
  <si>
    <t>CTOTTWD Index</t>
  </si>
  <si>
    <t>CTOTTZS Index</t>
  </si>
  <si>
    <t>CTOTUAH Index</t>
  </si>
  <si>
    <t>CTOTUGX Index</t>
  </si>
  <si>
    <t>CTOTUSD Index</t>
  </si>
  <si>
    <t>CTOTUYU Index</t>
  </si>
  <si>
    <t>CTOTVND Index</t>
  </si>
  <si>
    <t>CTOTZAR Index</t>
  </si>
  <si>
    <t>BFCIUS Index</t>
    <phoneticPr fontId="9" type="noConversion"/>
  </si>
  <si>
    <t>CHBGFCI INDEX</t>
    <phoneticPr fontId="9" type="noConversion"/>
  </si>
  <si>
    <t>kospi Index</t>
    <phoneticPr fontId="9" type="noConversion"/>
  </si>
  <si>
    <t>HSI Index</t>
    <phoneticPr fontId="9" type="noConversion"/>
  </si>
  <si>
    <t>XIN9I Index</t>
    <phoneticPr fontId="9" type="noConversion"/>
  </si>
  <si>
    <t>NDX Index</t>
    <phoneticPr fontId="9" type="noConversion"/>
  </si>
  <si>
    <t>SPX Index</t>
    <phoneticPr fontId="9" type="noConversion"/>
  </si>
  <si>
    <t>RTY Index</t>
    <phoneticPr fontId="9" type="noConversion"/>
  </si>
  <si>
    <t>SMI Index</t>
    <phoneticPr fontId="9" type="noConversion"/>
  </si>
  <si>
    <t>UKX Index</t>
    <phoneticPr fontId="9" type="noConversion"/>
  </si>
  <si>
    <t>AEX Index</t>
    <phoneticPr fontId="9" type="noConversion"/>
  </si>
  <si>
    <t>CAC Index</t>
    <phoneticPr fontId="9" type="noConversion"/>
  </si>
  <si>
    <t>FTSEMIB Index</t>
    <phoneticPr fontId="9" type="noConversion"/>
  </si>
  <si>
    <t>NKY Index</t>
    <phoneticPr fontId="9" type="noConversion"/>
  </si>
  <si>
    <t>SX5E Index</t>
    <phoneticPr fontId="9" type="noConversion"/>
  </si>
  <si>
    <t>IBEX Index</t>
    <phoneticPr fontId="9" type="noConversion"/>
  </si>
  <si>
    <t>DAX Index</t>
    <phoneticPr fontId="9" type="noConversion"/>
  </si>
  <si>
    <t>SPTSX60 Index</t>
  </si>
  <si>
    <t>AS51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</si>
</sst>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000"/>
    <numFmt numFmtId="167" formatCode="yyyy/m/d"/>
  </numFmts>
  <fonts count="10">
    <font>
      <sz val="11"/>
      <color theme="1"/>
      <name val="Calibri"/>
      <family val="2"/>
      <scheme val="minor"/>
    </font>
    <font>
      <b/>
      <sz val="14"/>
      <color rgb="FF15140F"/>
      <name val="Arial"/>
      <family val="2"/>
    </font>
    <font>
      <i/>
      <sz val="9"/>
      <color rgb="FF6A6A6A"/>
      <name val="Arial"/>
      <family val="2"/>
    </font>
    <font>
      <sz val="10"/>
      <name val="Arial"/>
      <family val="2"/>
    </font>
    <font>
      <b/>
      <sz val="11"/>
      <color rgb="FF15140F"/>
      <name val="Arial"/>
      <family val="2"/>
    </font>
    <font>
      <b/>
      <sz val="10"/>
      <color rgb="FFFFFFFF"/>
      <name val="Arial"/>
      <family val="2"/>
    </font>
    <font>
      <i/>
      <sz val="9"/>
      <color rgb="FFA0A0A0"/>
      <name val="Arial"/>
      <family val="2"/>
    </font>
    <font>
      <i/>
      <sz val="9"/>
      <color rgb="FF333333"/>
      <name val="Arial"/>
      <family val="2"/>
    </font>
    <font>
      <sz val="10"/>
      <color rgb="FF0000FF"/>
      <name val="Arial"/>
      <family val="2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271E"/>
      </patternFill>
    </fill>
    <fill>
      <patternFill patternType="solid">
        <fgColor rgb="FFD28A1F"/>
      </patternFill>
    </fill>
    <fill>
      <patternFill patternType="solid">
        <fgColor rgb="FFE8E2CC"/>
      </patternFill>
    </fill>
    <fill>
      <patternFill patternType="solid">
        <fgColor rgb="FFF1ECDA"/>
      </patternFill>
    </fill>
    <fill>
      <patternFill patternType="solid">
        <fgColor rgb="FFFFF8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39C84"/>
      </left>
      <right style="thin">
        <color rgb="FFA39C84"/>
      </right>
      <top style="thin">
        <color rgb="FFA39C84"/>
      </top>
      <bottom style="thin">
        <color rgb="FFA39C84"/>
      </bottom>
      <diagonal/>
    </border>
    <border>
      <left style="thin">
        <color rgb="FFA39C8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0" fontId="0" fillId="7" borderId="0" xfId="0" applyFill="1"/>
    <xf numFmtId="14" fontId="3" fillId="5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2" fontId="0" fillId="0" borderId="0" xfId="0" applyNumberFormat="1"/>
    <xf numFmtId="14" fontId="8" fillId="6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7" fillId="7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Data...3274946696</v>
        <stp/>
        <stp>BQL|14420693550061803896</stp>
        <tr r="A6" s="5"/>
      </tp>
      <tp t="s">
        <v>#N/A Requesting Data...3600878504</v>
        <stp/>
        <stp>BQL|13969821660416351566</stp>
        <tr r="A6" s="7"/>
      </tp>
      <tp t="s">
        <v>#N/A Requesting Data...4027993035</v>
        <stp/>
        <stp>BQL|13294661787305740459</stp>
        <tr r="A6" s="6"/>
      </tp>
      <tp t="s">
        <v>#N/A Requesting Data...4228825771</v>
        <stp/>
        <stp>BQL|16558476106082887263</stp>
        <tr r="A6" s="4"/>
      </tp>
      <tp t="e">
        <v>#N/A</v>
        <stp/>
        <stp>BDH|17223980469470898127</stp>
        <tr r="AG6" s="8"/>
      </tp>
    </main>
    <main first="bofaddin.rtdserver">
      <tp t="e">
        <v>#N/A</v>
        <stp/>
        <stp>BDH|17730500210738657650</stp>
        <tr r="O6" s="8"/>
      </tp>
      <tp t="e">
        <v>#N/A</v>
        <stp/>
        <stp>BDH|10554144233914307373</stp>
        <tr r="K6" s="8"/>
      </tp>
    </main>
    <main first="bofaddin.rtdserver">
      <tp t="e">
        <v>#N/A</v>
        <stp/>
        <stp>BDH|8640602309995124796</stp>
        <tr r="A6" s="8"/>
      </tp>
      <tp t="e">
        <v>#N/A</v>
        <stp/>
        <stp>BDH|8246139364607323436</stp>
        <tr r="AC6" s="8"/>
      </tp>
      <tp t="s">
        <v>#N/A Requesting Data...3231821653</v>
        <stp/>
        <stp>BQL|6180711481464988372</stp>
        <tr r="A6" s="2"/>
      </tp>
      <tp t="e">
        <v>#N/A</v>
        <stp/>
        <stp>BDH|2399393974949393163</stp>
        <tr r="W6" s="8"/>
      </tp>
      <tp t="e">
        <v>#N/A</v>
        <stp/>
        <stp>BDH|3763937906101429417</stp>
        <tr r="U6" s="8"/>
      </tp>
      <tp t="e">
        <v>#N/A</v>
        <stp/>
        <stp>BDH|7267052872049837135</stp>
        <tr r="AE6" s="8"/>
      </tp>
      <tp t="e">
        <v>#N/A</v>
        <stp/>
        <stp>BDH|2334857744145401283</stp>
        <tr r="C6" s="8"/>
      </tp>
      <tp t="e">
        <v>#N/A</v>
        <stp/>
        <stp>BDH|1784460556993246875</stp>
        <tr r="M6" s="8"/>
      </tp>
      <tp t="e">
        <v>#N/A</v>
        <stp/>
        <stp>BDH|1449813368026929274</stp>
        <tr r="S6" s="8"/>
      </tp>
      <tp t="s">
        <v>#N/A Requesting Data...3321425205</v>
        <stp/>
        <stp>BQL|6780108149157143095</stp>
        <tr r="A6" s="9"/>
      </tp>
      <tp t="e">
        <v>#N/A</v>
        <stp/>
        <stp>BDH|22759576441124847</stp>
        <tr r="Q6" s="8"/>
      </tp>
      <tp t="s">
        <v>#N/A Requesting Data...3282045127</v>
        <stp/>
        <stp>BQL|7906034612063089309</stp>
        <tr r="A6" s="3"/>
      </tp>
      <tp t="e">
        <v>#N/A</v>
        <stp/>
        <stp>BDH|5424363710771137016</stp>
        <tr r="E6" s="8"/>
      </tp>
      <tp t="e">
        <v>#N/A</v>
        <stp/>
        <stp>BDH|9936103025349232395</stp>
        <tr r="Y6" s="8"/>
      </tp>
      <tp t="s">
        <v>#N/A Requesting Data...3856091307</v>
        <stp/>
        <stp>BQL|3325168336209612988</stp>
        <tr r="F6" s="5"/>
      </tp>
      <tp t="e">
        <v>#N/A</v>
        <stp/>
        <stp>BDH|4802574024192719339</stp>
        <tr r="AA6" s="8"/>
      </tp>
      <tp t="e">
        <v>#N/A</v>
        <stp/>
        <stp>BDH|4116260696388633562</stp>
        <tr r="G6" s="8"/>
      </tp>
      <tp t="e">
        <v>#N/A</v>
        <stp/>
        <stp>BDH|671323013827773140</stp>
        <tr r="I6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opLeftCell="A22" workbookViewId="0">
      <selection activeCell="C20" sqref="C20"/>
    </sheetView>
  </sheetViews>
  <sheetFormatPr defaultRowHeight="15"/>
  <cols>
    <col min="1" max="1" width="25" customWidth="1"/>
    <col min="2" max="2" width="22" customWidth="1"/>
    <col min="3" max="3" width="70" customWidth="1"/>
  </cols>
  <sheetData>
    <row r="1" spans="1:3" ht="18">
      <c r="A1" s="1" t="s">
        <v>0</v>
      </c>
    </row>
    <row r="2" spans="1:3">
      <c r="A2" s="2" t="s">
        <v>1</v>
      </c>
    </row>
    <row r="4" spans="1:3">
      <c r="A4" s="3"/>
    </row>
    <row r="5" spans="1:3">
      <c r="A5" s="4" t="s">
        <v>2</v>
      </c>
    </row>
    <row r="6" spans="1:3">
      <c r="A6" s="3" t="s">
        <v>3</v>
      </c>
    </row>
    <row r="7" spans="1:3">
      <c r="A7" s="3" t="s">
        <v>4</v>
      </c>
    </row>
    <row r="8" spans="1:3">
      <c r="A8" s="3" t="s">
        <v>5</v>
      </c>
    </row>
    <row r="9" spans="1:3">
      <c r="A9" s="3" t="s">
        <v>6</v>
      </c>
    </row>
    <row r="10" spans="1:3">
      <c r="A10" s="3" t="s">
        <v>7</v>
      </c>
    </row>
    <row r="11" spans="1:3">
      <c r="A11" s="3" t="s">
        <v>8</v>
      </c>
    </row>
    <row r="12" spans="1:3">
      <c r="A12" s="3"/>
    </row>
    <row r="13" spans="1:3">
      <c r="A13" s="3" t="s">
        <v>9</v>
      </c>
    </row>
    <row r="14" spans="1:3">
      <c r="A14" s="4"/>
    </row>
    <row r="15" spans="1:3">
      <c r="A15" s="5" t="s">
        <v>10</v>
      </c>
      <c r="B15" s="5" t="s">
        <v>11</v>
      </c>
      <c r="C15" s="5" t="s">
        <v>12</v>
      </c>
    </row>
    <row r="16" spans="1:3">
      <c r="A16" s="3" t="s">
        <v>13</v>
      </c>
      <c r="B16" s="3" t="s">
        <v>14</v>
      </c>
      <c r="C16" s="3" t="s">
        <v>15</v>
      </c>
    </row>
    <row r="17" spans="1:3">
      <c r="A17" s="3" t="s">
        <v>16</v>
      </c>
      <c r="B17" s="3" t="s">
        <v>17</v>
      </c>
      <c r="C17" s="3" t="s">
        <v>18</v>
      </c>
    </row>
    <row r="18" spans="1:3">
      <c r="A18" s="3" t="s">
        <v>19</v>
      </c>
      <c r="B18" s="3" t="s">
        <v>20</v>
      </c>
      <c r="C18" s="3" t="s">
        <v>21</v>
      </c>
    </row>
    <row r="19" spans="1:3">
      <c r="A19" s="3" t="s">
        <v>22</v>
      </c>
      <c r="B19" s="3" t="s">
        <v>23</v>
      </c>
      <c r="C19" s="3" t="s">
        <v>24</v>
      </c>
    </row>
    <row r="20" spans="1:3">
      <c r="A20" s="3" t="s">
        <v>25</v>
      </c>
      <c r="B20" s="3" t="s">
        <v>23</v>
      </c>
      <c r="C20" s="3" t="s">
        <v>26</v>
      </c>
    </row>
    <row r="21" spans="1:3">
      <c r="A21" s="3" t="s">
        <v>27</v>
      </c>
      <c r="B21" s="3" t="s">
        <v>23</v>
      </c>
      <c r="C21" s="3" t="s">
        <v>28</v>
      </c>
    </row>
    <row r="22" spans="1:3">
      <c r="A22" s="3" t="s">
        <v>29</v>
      </c>
      <c r="B22" s="3" t="s">
        <v>30</v>
      </c>
      <c r="C22" s="3" t="s">
        <v>31</v>
      </c>
    </row>
    <row r="23" spans="1:3">
      <c r="A23" s="3" t="s">
        <v>32</v>
      </c>
      <c r="B23" s="3" t="s">
        <v>23</v>
      </c>
      <c r="C23" s="3" t="s">
        <v>33</v>
      </c>
    </row>
    <row r="26" spans="1:3">
      <c r="A26" s="4" t="s">
        <v>34</v>
      </c>
    </row>
    <row r="27" spans="1:3">
      <c r="A27" s="5" t="s">
        <v>35</v>
      </c>
      <c r="B27" s="5" t="s">
        <v>36</v>
      </c>
      <c r="C27" s="5" t="s">
        <v>37</v>
      </c>
    </row>
    <row r="28" spans="1:3">
      <c r="A28" s="3" t="s">
        <v>38</v>
      </c>
      <c r="B28" s="3" t="s">
        <v>39</v>
      </c>
      <c r="C28" s="3" t="s">
        <v>40</v>
      </c>
    </row>
    <row r="29" spans="1:3">
      <c r="A29" s="3" t="s">
        <v>41</v>
      </c>
      <c r="B29" s="3" t="s">
        <v>42</v>
      </c>
      <c r="C29" s="3" t="s">
        <v>40</v>
      </c>
    </row>
    <row r="30" spans="1:3">
      <c r="A30" s="3" t="s">
        <v>43</v>
      </c>
      <c r="B30" s="3" t="s">
        <v>44</v>
      </c>
      <c r="C30" s="3" t="s">
        <v>40</v>
      </c>
    </row>
    <row r="31" spans="1:3">
      <c r="A31" s="3" t="s">
        <v>45</v>
      </c>
      <c r="B31" s="3" t="s">
        <v>46</v>
      </c>
      <c r="C31" s="3" t="s">
        <v>40</v>
      </c>
    </row>
    <row r="32" spans="1:3">
      <c r="A32" s="3" t="s">
        <v>47</v>
      </c>
      <c r="B32" s="3" t="s">
        <v>48</v>
      </c>
      <c r="C32" s="3" t="s">
        <v>40</v>
      </c>
    </row>
    <row r="33" spans="1:3">
      <c r="A33" s="3" t="s">
        <v>49</v>
      </c>
      <c r="B33" s="3" t="s">
        <v>50</v>
      </c>
      <c r="C33" s="3" t="s">
        <v>40</v>
      </c>
    </row>
    <row r="34" spans="1:3">
      <c r="A34" s="3" t="s">
        <v>51</v>
      </c>
      <c r="B34" s="3" t="s">
        <v>52</v>
      </c>
      <c r="C34" s="3" t="s">
        <v>40</v>
      </c>
    </row>
    <row r="35" spans="1:3">
      <c r="A35" s="3" t="s">
        <v>53</v>
      </c>
      <c r="B35" s="3" t="s">
        <v>54</v>
      </c>
      <c r="C35" s="3" t="s">
        <v>40</v>
      </c>
    </row>
    <row r="36" spans="1:3">
      <c r="A36" s="3" t="s">
        <v>55</v>
      </c>
      <c r="B36" s="3" t="s">
        <v>56</v>
      </c>
      <c r="C36" s="3" t="s">
        <v>40</v>
      </c>
    </row>
    <row r="37" spans="1:3">
      <c r="A37" s="3" t="s">
        <v>57</v>
      </c>
      <c r="B37" s="3" t="s">
        <v>58</v>
      </c>
      <c r="C37" s="3" t="s">
        <v>40</v>
      </c>
    </row>
    <row r="38" spans="1:3">
      <c r="A38" s="3" t="s">
        <v>59</v>
      </c>
      <c r="B38" s="3" t="s">
        <v>60</v>
      </c>
      <c r="C38" s="3" t="s">
        <v>61</v>
      </c>
    </row>
    <row r="39" spans="1:3">
      <c r="A39" s="3" t="s">
        <v>62</v>
      </c>
      <c r="B39" s="3" t="s">
        <v>63</v>
      </c>
      <c r="C39" s="3" t="s">
        <v>61</v>
      </c>
    </row>
    <row r="40" spans="1:3">
      <c r="A40" s="3" t="s">
        <v>64</v>
      </c>
      <c r="B40" s="3" t="s">
        <v>65</v>
      </c>
      <c r="C40" s="3" t="s">
        <v>61</v>
      </c>
    </row>
    <row r="41" spans="1:3">
      <c r="A41" s="3" t="s">
        <v>66</v>
      </c>
      <c r="B41" s="3" t="s">
        <v>67</v>
      </c>
      <c r="C41" s="3" t="s">
        <v>61</v>
      </c>
    </row>
    <row r="42" spans="1:3">
      <c r="A42" s="3" t="s">
        <v>68</v>
      </c>
      <c r="B42" s="3" t="s">
        <v>69</v>
      </c>
      <c r="C42" s="3" t="s">
        <v>61</v>
      </c>
    </row>
    <row r="45" spans="1:3">
      <c r="A45" s="4" t="s">
        <v>70</v>
      </c>
    </row>
    <row r="46" spans="1:3">
      <c r="A46" s="5" t="s">
        <v>71</v>
      </c>
      <c r="B46" s="5" t="s">
        <v>72</v>
      </c>
      <c r="C46" s="5" t="s">
        <v>73</v>
      </c>
    </row>
    <row r="47" spans="1:3">
      <c r="A47" s="3" t="s">
        <v>74</v>
      </c>
      <c r="B47" s="3" t="s">
        <v>75</v>
      </c>
      <c r="C47" s="3" t="s">
        <v>51</v>
      </c>
    </row>
    <row r="48" spans="1:3">
      <c r="A48" s="3" t="s">
        <v>76</v>
      </c>
      <c r="B48" s="3" t="s">
        <v>77</v>
      </c>
      <c r="C48" s="3" t="s">
        <v>49</v>
      </c>
    </row>
    <row r="49" spans="1:3">
      <c r="A49" s="3" t="s">
        <v>78</v>
      </c>
      <c r="B49" s="3" t="s">
        <v>79</v>
      </c>
      <c r="C49" s="3" t="s">
        <v>53</v>
      </c>
    </row>
    <row r="50" spans="1:3">
      <c r="A50" s="3" t="s">
        <v>80</v>
      </c>
      <c r="B50" s="3" t="s">
        <v>81</v>
      </c>
      <c r="C50" s="3" t="s">
        <v>55</v>
      </c>
    </row>
    <row r="51" spans="1:3">
      <c r="A51" s="3" t="s">
        <v>82</v>
      </c>
      <c r="B51" s="3" t="s">
        <v>83</v>
      </c>
      <c r="C51" s="3" t="s">
        <v>59</v>
      </c>
    </row>
    <row r="52" spans="1:3">
      <c r="A52" s="3" t="s">
        <v>84</v>
      </c>
      <c r="B52" s="3" t="s">
        <v>85</v>
      </c>
      <c r="C52" s="3" t="s">
        <v>62</v>
      </c>
    </row>
    <row r="53" spans="1:3">
      <c r="A53" s="3" t="s">
        <v>86</v>
      </c>
      <c r="B53" s="3" t="s">
        <v>87</v>
      </c>
      <c r="C53" s="3" t="s">
        <v>49</v>
      </c>
    </row>
    <row r="54" spans="1:3">
      <c r="A54" s="3" t="s">
        <v>88</v>
      </c>
      <c r="B54" s="3" t="s">
        <v>89</v>
      </c>
      <c r="C54" s="3" t="s">
        <v>49</v>
      </c>
    </row>
    <row r="55" spans="1:3">
      <c r="A55" s="3" t="s">
        <v>90</v>
      </c>
      <c r="B55" s="3" t="s">
        <v>91</v>
      </c>
      <c r="C55" s="3" t="s">
        <v>64</v>
      </c>
    </row>
    <row r="56" spans="1:3">
      <c r="A56" s="3" t="s">
        <v>92</v>
      </c>
      <c r="B56" s="3" t="s">
        <v>93</v>
      </c>
      <c r="C56" s="3" t="s">
        <v>43</v>
      </c>
    </row>
    <row r="57" spans="1:3">
      <c r="A57" s="3" t="s">
        <v>94</v>
      </c>
      <c r="B57" s="3" t="s">
        <v>95</v>
      </c>
      <c r="C57" s="3" t="s">
        <v>66</v>
      </c>
    </row>
    <row r="58" spans="1:3">
      <c r="A58" s="3" t="s">
        <v>96</v>
      </c>
      <c r="B58" s="3" t="s">
        <v>97</v>
      </c>
      <c r="C58" s="3" t="s">
        <v>38</v>
      </c>
    </row>
    <row r="59" spans="1:3">
      <c r="A59" s="3" t="s">
        <v>98</v>
      </c>
      <c r="B59" s="3" t="s">
        <v>99</v>
      </c>
      <c r="C59" s="3" t="s">
        <v>47</v>
      </c>
    </row>
    <row r="60" spans="1:3">
      <c r="A60" s="3" t="s">
        <v>100</v>
      </c>
      <c r="B60" s="3" t="s">
        <v>101</v>
      </c>
      <c r="C60" s="3" t="s">
        <v>41</v>
      </c>
    </row>
    <row r="61" spans="1:3">
      <c r="A61" s="3" t="s">
        <v>102</v>
      </c>
      <c r="B61" s="3" t="s">
        <v>103</v>
      </c>
      <c r="C61" s="3" t="s">
        <v>68</v>
      </c>
    </row>
    <row r="62" spans="1:3">
      <c r="A62" s="3" t="s">
        <v>104</v>
      </c>
      <c r="B62" s="3" t="s">
        <v>105</v>
      </c>
      <c r="C62" s="3" t="s">
        <v>45</v>
      </c>
    </row>
    <row r="63" spans="1:3">
      <c r="A63" s="3" t="s">
        <v>106</v>
      </c>
      <c r="B63" s="3" t="s">
        <v>107</v>
      </c>
      <c r="C63" s="3" t="s">
        <v>57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pane xSplit="1" ySplit="5" topLeftCell="B6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13" customWidth="1"/>
    <col min="2" max="9" width="15" customWidth="1"/>
    <col min="10" max="10" width="16.28515625" bestFit="1" customWidth="1"/>
    <col min="11" max="11" width="16.42578125" bestFit="1" customWidth="1"/>
    <col min="12" max="16" width="15" customWidth="1"/>
  </cols>
  <sheetData>
    <row r="1" spans="1:16" ht="18">
      <c r="A1" s="1" t="s">
        <v>108</v>
      </c>
    </row>
    <row r="2" spans="1:16">
      <c r="A2" s="2" t="s">
        <v>109</v>
      </c>
    </row>
    <row r="3" spans="1:16">
      <c r="B3" s="6" t="s">
        <v>39</v>
      </c>
      <c r="C3" s="6" t="s">
        <v>42</v>
      </c>
      <c r="D3" s="6" t="s">
        <v>44</v>
      </c>
      <c r="E3" s="6" t="s">
        <v>46</v>
      </c>
      <c r="F3" s="6" t="s">
        <v>48</v>
      </c>
      <c r="G3" s="6" t="s">
        <v>50</v>
      </c>
      <c r="H3" s="6" t="s">
        <v>52</v>
      </c>
      <c r="I3" s="6" t="s">
        <v>54</v>
      </c>
      <c r="J3" s="6" t="s">
        <v>56</v>
      </c>
      <c r="K3" s="6" t="s">
        <v>58</v>
      </c>
      <c r="L3" s="6" t="s">
        <v>60</v>
      </c>
      <c r="M3" s="6" t="s">
        <v>63</v>
      </c>
      <c r="N3" s="6" t="s">
        <v>65</v>
      </c>
      <c r="O3" s="6" t="s">
        <v>67</v>
      </c>
      <c r="P3" s="6" t="s">
        <v>69</v>
      </c>
    </row>
    <row r="4" spans="1:16">
      <c r="A4" s="7" t="s">
        <v>110</v>
      </c>
      <c r="B4" s="8" t="s">
        <v>38</v>
      </c>
      <c r="C4" s="8" t="s">
        <v>41</v>
      </c>
      <c r="D4" s="8" t="s">
        <v>43</v>
      </c>
      <c r="E4" s="8" t="s">
        <v>45</v>
      </c>
      <c r="F4" s="8" t="s">
        <v>47</v>
      </c>
      <c r="G4" s="8" t="s">
        <v>49</v>
      </c>
      <c r="H4" s="8" t="s">
        <v>51</v>
      </c>
      <c r="I4" s="8" t="s">
        <v>53</v>
      </c>
      <c r="J4" s="8" t="s">
        <v>55</v>
      </c>
      <c r="K4" s="8" t="s">
        <v>57</v>
      </c>
      <c r="L4" s="8" t="s">
        <v>59</v>
      </c>
      <c r="M4" s="8" t="s">
        <v>62</v>
      </c>
      <c r="N4" s="8" t="s">
        <v>64</v>
      </c>
      <c r="O4" s="8" t="s">
        <v>66</v>
      </c>
      <c r="P4" s="8" t="s">
        <v>68</v>
      </c>
    </row>
    <row r="5" spans="1:16">
      <c r="A5" s="9" t="s">
        <v>111</v>
      </c>
      <c r="B5" s="10" t="s">
        <v>112</v>
      </c>
      <c r="C5" s="10" t="s">
        <v>113</v>
      </c>
      <c r="D5" s="10" t="s">
        <v>114</v>
      </c>
      <c r="E5" s="10" t="s">
        <v>115</v>
      </c>
      <c r="F5" s="10" t="s">
        <v>116</v>
      </c>
      <c r="G5" s="10" t="s">
        <v>117</v>
      </c>
      <c r="H5" s="10" t="s">
        <v>118</v>
      </c>
      <c r="I5" s="10" t="s">
        <v>119</v>
      </c>
      <c r="J5" s="10" t="s">
        <v>120</v>
      </c>
      <c r="K5" s="10" t="s">
        <v>121</v>
      </c>
      <c r="L5" s="10" t="s">
        <v>170</v>
      </c>
      <c r="M5" s="10" t="s">
        <v>171</v>
      </c>
      <c r="N5" s="10" t="s">
        <v>172</v>
      </c>
      <c r="O5" s="10" t="s">
        <v>173</v>
      </c>
      <c r="P5" s="10" t="s">
        <v>174</v>
      </c>
    </row>
    <row r="6" spans="1:16">
      <c r="A6" s="24">
        <f>_xll.BQL($B$5:$P$5, "px_last(dates=range(-1100D, 10D), fill=NA, per=Q)", "showids", "false", "showheaders", "false", "showallcols", "false","cols=16;rows=12")</f>
        <v>45107</v>
      </c>
      <c r="B6" s="12">
        <v>1.86991</v>
      </c>
      <c r="C6" s="12">
        <v>1</v>
      </c>
      <c r="D6" s="12">
        <v>0.5</v>
      </c>
      <c r="E6" s="12">
        <v>2.0198900000000002</v>
      </c>
      <c r="F6" s="12">
        <v>0.52309000000000005</v>
      </c>
      <c r="G6" s="12">
        <v>2.8</v>
      </c>
      <c r="H6" s="12">
        <v>1.6614</v>
      </c>
      <c r="I6" s="12">
        <v>1.1929399999999999</v>
      </c>
      <c r="J6" s="12">
        <v>2.2530299999999999</v>
      </c>
      <c r="K6" s="12">
        <v>-0.7</v>
      </c>
      <c r="L6" s="12">
        <v>1.6</v>
      </c>
      <c r="M6" s="12">
        <v>6.5</v>
      </c>
      <c r="N6" s="12">
        <v>0.56664999999999999</v>
      </c>
      <c r="O6" s="12">
        <v>-0.9</v>
      </c>
      <c r="P6" s="12">
        <v>0.6</v>
      </c>
    </row>
    <row r="7" spans="1:16">
      <c r="A7" s="23">
        <v>45199</v>
      </c>
      <c r="B7" s="12">
        <v>1.56542</v>
      </c>
      <c r="C7" s="12">
        <v>0</v>
      </c>
      <c r="D7" s="12">
        <v>0.1</v>
      </c>
      <c r="E7" s="12">
        <v>1.9935700000000001</v>
      </c>
      <c r="F7" s="12">
        <v>0.46039999999999998</v>
      </c>
      <c r="G7" s="12">
        <v>3.2</v>
      </c>
      <c r="H7" s="12">
        <v>1.1132500000000001</v>
      </c>
      <c r="I7" s="12">
        <v>1.5300100000000001</v>
      </c>
      <c r="J7" s="12">
        <v>2.1991999999999998</v>
      </c>
      <c r="K7" s="12">
        <v>-0.9</v>
      </c>
      <c r="L7" s="12">
        <v>4.2</v>
      </c>
      <c r="M7" s="12">
        <v>5</v>
      </c>
      <c r="N7" s="12">
        <v>0.46257999999999999</v>
      </c>
      <c r="O7" s="12">
        <v>-1.5</v>
      </c>
      <c r="P7" s="12">
        <v>0.1</v>
      </c>
    </row>
    <row r="8" spans="1:16">
      <c r="A8" s="24">
        <v>45291</v>
      </c>
      <c r="B8" s="12">
        <v>1.6</v>
      </c>
      <c r="C8" s="12">
        <v>0</v>
      </c>
      <c r="D8" s="12">
        <v>-0.5</v>
      </c>
      <c r="E8" s="12">
        <v>2.24966</v>
      </c>
      <c r="F8" s="12">
        <v>1.0507200000000001</v>
      </c>
      <c r="G8" s="12">
        <v>3.4</v>
      </c>
      <c r="H8" s="12">
        <v>1.88568</v>
      </c>
      <c r="I8" s="12">
        <v>2.22214</v>
      </c>
      <c r="J8" s="12">
        <v>1.30464</v>
      </c>
      <c r="K8" s="12">
        <v>-0.8</v>
      </c>
      <c r="L8" s="12">
        <v>4.3</v>
      </c>
      <c r="M8" s="12">
        <v>5.3</v>
      </c>
      <c r="N8" s="12">
        <v>0.62183999999999995</v>
      </c>
      <c r="O8" s="12">
        <v>-1.1000000000000001</v>
      </c>
      <c r="P8" s="12">
        <v>0.2</v>
      </c>
    </row>
    <row r="9" spans="1:16">
      <c r="A9" s="23">
        <v>45382</v>
      </c>
      <c r="B9" s="12">
        <v>1.7</v>
      </c>
      <c r="C9" s="12">
        <v>-1.1000000000000001</v>
      </c>
      <c r="D9" s="12">
        <v>0.2</v>
      </c>
      <c r="E9" s="12">
        <v>2.8629699999999998</v>
      </c>
      <c r="F9" s="12">
        <v>0.55354000000000003</v>
      </c>
      <c r="G9" s="12">
        <v>2.9</v>
      </c>
      <c r="H9" s="12">
        <v>1.1963699999999999</v>
      </c>
      <c r="I9" s="12">
        <v>3.3926500000000002</v>
      </c>
      <c r="J9" s="12">
        <v>1.10029</v>
      </c>
      <c r="K9" s="12">
        <v>-0.4</v>
      </c>
      <c r="L9" s="12">
        <v>2.9</v>
      </c>
      <c r="M9" s="12">
        <v>5.3</v>
      </c>
      <c r="N9" s="12">
        <v>0.40870000000000001</v>
      </c>
      <c r="O9" s="12">
        <v>-0.3</v>
      </c>
      <c r="P9" s="12">
        <v>0.5</v>
      </c>
    </row>
    <row r="10" spans="1:16">
      <c r="A10" s="24">
        <v>45473</v>
      </c>
      <c r="B10" s="12">
        <v>1</v>
      </c>
      <c r="C10" s="12">
        <v>-1.1000000000000001</v>
      </c>
      <c r="D10" s="12">
        <v>0.8</v>
      </c>
      <c r="E10" s="12">
        <v>3.6590099999999999</v>
      </c>
      <c r="F10" s="12">
        <v>0.73765000000000003</v>
      </c>
      <c r="G10" s="12">
        <v>3.1</v>
      </c>
      <c r="H10" s="12">
        <v>2.03138</v>
      </c>
      <c r="I10" s="12">
        <v>2.2431999999999999</v>
      </c>
      <c r="J10" s="12">
        <v>0.90207999999999999</v>
      </c>
      <c r="K10" s="12">
        <v>-0.7</v>
      </c>
      <c r="L10" s="12">
        <v>3</v>
      </c>
      <c r="M10" s="12">
        <v>4.7</v>
      </c>
      <c r="N10" s="12">
        <v>1.74753</v>
      </c>
      <c r="O10" s="12">
        <v>0.9</v>
      </c>
      <c r="P10" s="12">
        <v>0.6</v>
      </c>
    </row>
    <row r="11" spans="1:16">
      <c r="A11" s="23">
        <v>45565</v>
      </c>
      <c r="B11" s="12">
        <v>1.1000000000000001</v>
      </c>
      <c r="C11" s="12">
        <v>0.9</v>
      </c>
      <c r="D11" s="12">
        <v>1.2</v>
      </c>
      <c r="E11" s="12">
        <v>3.6335999999999999</v>
      </c>
      <c r="F11" s="12">
        <v>0.63790000000000002</v>
      </c>
      <c r="G11" s="12">
        <v>2.8</v>
      </c>
      <c r="H11" s="12">
        <v>2.504050146747022</v>
      </c>
      <c r="I11" s="12">
        <v>1.4088799999999999</v>
      </c>
      <c r="J11" s="12">
        <v>0.79791000000000001</v>
      </c>
      <c r="K11" s="12">
        <v>-0.6</v>
      </c>
      <c r="L11" s="12">
        <v>2.1</v>
      </c>
      <c r="M11" s="12">
        <v>4.5999999999999996</v>
      </c>
      <c r="N11" s="12">
        <v>1.75779</v>
      </c>
      <c r="O11" s="12">
        <v>1.7</v>
      </c>
      <c r="P11" s="12">
        <v>1</v>
      </c>
    </row>
    <row r="12" spans="1:16">
      <c r="A12" s="24">
        <v>45657</v>
      </c>
      <c r="B12" s="12">
        <v>0.65629999999999999</v>
      </c>
      <c r="C12" s="12">
        <v>0.6</v>
      </c>
      <c r="D12" s="12">
        <v>2</v>
      </c>
      <c r="E12" s="12">
        <v>3.6596600000000001</v>
      </c>
      <c r="F12" s="12">
        <v>0.41694999999999999</v>
      </c>
      <c r="G12" s="12">
        <v>2.4</v>
      </c>
      <c r="H12" s="12">
        <v>2.6735000000000002</v>
      </c>
      <c r="I12" s="12">
        <v>1.09083</v>
      </c>
      <c r="J12" s="12">
        <v>1.21587</v>
      </c>
      <c r="K12" s="12">
        <v>-0.2</v>
      </c>
      <c r="L12" s="12">
        <v>2.5</v>
      </c>
      <c r="M12" s="12">
        <v>5.4</v>
      </c>
      <c r="N12" s="12">
        <v>1.64314</v>
      </c>
      <c r="O12" s="12">
        <v>1.9</v>
      </c>
      <c r="P12" s="12">
        <v>1.3</v>
      </c>
    </row>
    <row r="13" spans="1:16">
      <c r="A13" s="23">
        <v>45747</v>
      </c>
      <c r="B13" s="12">
        <v>0.66647999999999996</v>
      </c>
      <c r="C13" s="12">
        <v>1.5</v>
      </c>
      <c r="D13" s="12">
        <v>1.8</v>
      </c>
      <c r="E13" s="12">
        <v>3.0762900000000002</v>
      </c>
      <c r="F13" s="12">
        <v>0.64446999999999999</v>
      </c>
      <c r="G13" s="12">
        <v>2</v>
      </c>
      <c r="H13" s="12">
        <v>2.2330700000000001</v>
      </c>
      <c r="I13" s="12">
        <v>-2.64E-2</v>
      </c>
      <c r="J13" s="12">
        <v>1.2958700000000001</v>
      </c>
      <c r="K13" s="12">
        <v>0.3</v>
      </c>
      <c r="L13" s="12">
        <v>3.2</v>
      </c>
      <c r="M13" s="12">
        <v>5.4</v>
      </c>
      <c r="N13" s="12">
        <v>2.4026200000000002</v>
      </c>
      <c r="O13" s="12">
        <v>2.1</v>
      </c>
      <c r="P13" s="12">
        <v>1.6</v>
      </c>
    </row>
    <row r="14" spans="1:16">
      <c r="A14" s="24">
        <v>45838</v>
      </c>
      <c r="B14" s="12">
        <v>0.82130999999999998</v>
      </c>
      <c r="C14" s="12">
        <v>2</v>
      </c>
      <c r="D14" s="12">
        <v>1.4</v>
      </c>
      <c r="E14" s="12">
        <v>2.8784100000000001</v>
      </c>
      <c r="F14" s="12">
        <v>0.43896000000000002</v>
      </c>
      <c r="G14" s="12">
        <v>2.1</v>
      </c>
      <c r="H14" s="12">
        <v>1.3134399999999999</v>
      </c>
      <c r="I14" s="12">
        <v>0.58077000000000001</v>
      </c>
      <c r="J14" s="12">
        <v>1.9493199999999999</v>
      </c>
      <c r="K14" s="12">
        <v>0.4</v>
      </c>
      <c r="L14" s="12">
        <v>3.3</v>
      </c>
      <c r="M14" s="12">
        <v>5.2</v>
      </c>
      <c r="N14" s="12">
        <v>1.5476799999999999</v>
      </c>
      <c r="O14" s="12">
        <v>1.6</v>
      </c>
      <c r="P14" s="12">
        <v>1.6</v>
      </c>
    </row>
    <row r="15" spans="1:16">
      <c r="A15" s="25">
        <v>45930</v>
      </c>
      <c r="B15">
        <v>1.00698</v>
      </c>
      <c r="C15">
        <v>0.5</v>
      </c>
      <c r="D15">
        <v>1.3</v>
      </c>
      <c r="E15">
        <v>2.70329</v>
      </c>
      <c r="F15">
        <v>0.68215999999999999</v>
      </c>
      <c r="G15">
        <v>2.2999999999999998</v>
      </c>
      <c r="H15">
        <v>1.4636899999999999</v>
      </c>
      <c r="I15">
        <v>1.8323100000000001</v>
      </c>
      <c r="J15">
        <v>2.0734499999999998</v>
      </c>
      <c r="K15">
        <v>0.3</v>
      </c>
      <c r="L15">
        <v>3.8</v>
      </c>
      <c r="M15">
        <v>4.8</v>
      </c>
      <c r="N15">
        <v>0.63077000000000005</v>
      </c>
      <c r="O15">
        <v>1.7</v>
      </c>
      <c r="P15">
        <v>1.4</v>
      </c>
    </row>
    <row r="16" spans="1:16">
      <c r="A16" s="25">
        <v>46022</v>
      </c>
      <c r="B16">
        <v>1.2416</v>
      </c>
      <c r="C16">
        <v>0.2</v>
      </c>
      <c r="D16">
        <v>1</v>
      </c>
      <c r="E16">
        <v>2.6478799999999998</v>
      </c>
      <c r="F16">
        <v>0.88832999999999995</v>
      </c>
      <c r="G16">
        <v>2</v>
      </c>
      <c r="H16">
        <v>1.0448900000000001</v>
      </c>
      <c r="I16">
        <v>1.5788899999999999</v>
      </c>
      <c r="J16">
        <v>2.5598100000000001</v>
      </c>
      <c r="K16">
        <v>0.4</v>
      </c>
      <c r="L16">
        <v>4</v>
      </c>
      <c r="M16">
        <v>4.5</v>
      </c>
      <c r="N16">
        <v>0.52510000000000001</v>
      </c>
      <c r="O16">
        <v>1.8</v>
      </c>
      <c r="P16">
        <v>1.2</v>
      </c>
    </row>
    <row r="17" spans="1:16">
      <c r="A17" s="25">
        <v>46112</v>
      </c>
      <c r="B17">
        <v>1.11412</v>
      </c>
      <c r="C17">
        <v>0.6</v>
      </c>
      <c r="D17">
        <v>1.1000000000000001</v>
      </c>
      <c r="E17">
        <v>2.7192500000000002</v>
      </c>
      <c r="F17">
        <v>0.74580999999999997</v>
      </c>
      <c r="G17">
        <v>2.7</v>
      </c>
      <c r="H17">
        <v>0.97397999999999996</v>
      </c>
      <c r="I17">
        <v>3.6286900000000002</v>
      </c>
      <c r="J17" t="e">
        <v>#N/A</v>
      </c>
      <c r="K17">
        <v>0.3</v>
      </c>
      <c r="L17">
        <v>5.9</v>
      </c>
      <c r="M17">
        <v>5</v>
      </c>
      <c r="N17" t="e">
        <v>#N/A</v>
      </c>
      <c r="O17">
        <v>1.2</v>
      </c>
      <c r="P17">
        <v>0.8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workbookViewId="0">
      <pane xSplit="1" ySplit="5" topLeftCell="B6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13" customWidth="1"/>
    <col min="2" max="16" width="15" customWidth="1"/>
  </cols>
  <sheetData>
    <row r="1" spans="1:16" ht="18">
      <c r="A1" s="1" t="s">
        <v>122</v>
      </c>
    </row>
    <row r="2" spans="1:16">
      <c r="A2" s="2" t="s">
        <v>123</v>
      </c>
    </row>
    <row r="3" spans="1:16">
      <c r="B3" s="6" t="s">
        <v>39</v>
      </c>
      <c r="C3" s="6" t="s">
        <v>42</v>
      </c>
      <c r="D3" s="6" t="s">
        <v>44</v>
      </c>
      <c r="E3" s="6" t="s">
        <v>46</v>
      </c>
      <c r="F3" s="6" t="s">
        <v>48</v>
      </c>
      <c r="G3" s="6" t="s">
        <v>50</v>
      </c>
      <c r="H3" s="6" t="s">
        <v>52</v>
      </c>
      <c r="I3" s="6" t="s">
        <v>54</v>
      </c>
      <c r="J3" s="6" t="s">
        <v>56</v>
      </c>
      <c r="K3" s="6" t="s">
        <v>58</v>
      </c>
      <c r="L3" s="6" t="s">
        <v>60</v>
      </c>
      <c r="M3" s="6" t="s">
        <v>63</v>
      </c>
      <c r="N3" s="6" t="s">
        <v>65</v>
      </c>
      <c r="O3" s="6" t="s">
        <v>67</v>
      </c>
      <c r="P3" s="6" t="s">
        <v>69</v>
      </c>
    </row>
    <row r="4" spans="1:16">
      <c r="A4" s="7" t="s">
        <v>110</v>
      </c>
      <c r="B4" s="8" t="s">
        <v>38</v>
      </c>
      <c r="C4" s="8" t="s">
        <v>41</v>
      </c>
      <c r="D4" s="8" t="s">
        <v>43</v>
      </c>
      <c r="E4" s="8" t="s">
        <v>45</v>
      </c>
      <c r="F4" s="8" t="s">
        <v>47</v>
      </c>
      <c r="G4" s="8" t="s">
        <v>49</v>
      </c>
      <c r="H4" s="8" t="s">
        <v>51</v>
      </c>
      <c r="I4" s="8" t="s">
        <v>53</v>
      </c>
      <c r="J4" s="8" t="s">
        <v>55</v>
      </c>
      <c r="K4" s="8" t="s">
        <v>57</v>
      </c>
      <c r="L4" s="8" t="s">
        <v>59</v>
      </c>
      <c r="M4" s="8" t="s">
        <v>62</v>
      </c>
      <c r="N4" s="8" t="s">
        <v>64</v>
      </c>
      <c r="O4" s="8" t="s">
        <v>66</v>
      </c>
      <c r="P4" s="8" t="s">
        <v>68</v>
      </c>
    </row>
    <row r="5" spans="1:16">
      <c r="A5" s="9" t="s">
        <v>111</v>
      </c>
      <c r="B5" s="10" t="s">
        <v>124</v>
      </c>
      <c r="C5" s="10" t="s">
        <v>125</v>
      </c>
      <c r="D5" s="10" t="s">
        <v>126</v>
      </c>
      <c r="E5" s="10" t="s">
        <v>127</v>
      </c>
      <c r="F5" s="10" t="s">
        <v>128</v>
      </c>
      <c r="G5" s="10" t="s">
        <v>129</v>
      </c>
      <c r="H5" s="10" t="s">
        <v>130</v>
      </c>
      <c r="I5" s="10" t="s">
        <v>131</v>
      </c>
      <c r="J5" s="10" t="s">
        <v>132</v>
      </c>
      <c r="K5" s="10" t="s">
        <v>133</v>
      </c>
      <c r="L5" s="10" t="s">
        <v>175</v>
      </c>
      <c r="M5" s="10" t="s">
        <v>176</v>
      </c>
      <c r="N5" s="10" t="s">
        <v>134</v>
      </c>
      <c r="O5" s="10" t="s">
        <v>177</v>
      </c>
      <c r="P5" s="10" t="s">
        <v>135</v>
      </c>
    </row>
    <row r="6" spans="1:16">
      <c r="A6" s="24">
        <f>_xll.BQL($B$5:$P$5, "px_last(dates=range(-1100D, 10D), fill=NA, per=M)", "showids", "false", "showheaders", "false", "showallcols", "false","cols=16;rows=36")</f>
        <v>45077</v>
      </c>
      <c r="B6" s="12">
        <v>5.1320899999999998</v>
      </c>
      <c r="C6" s="12">
        <v>3.2</v>
      </c>
      <c r="D6" s="12">
        <v>8.6999999999999993</v>
      </c>
      <c r="E6" s="12">
        <v>3.2</v>
      </c>
      <c r="F6" s="12">
        <v>7.6</v>
      </c>
      <c r="G6" s="12">
        <v>4.0476200000000002</v>
      </c>
      <c r="H6" s="12">
        <v>3.3574799999999998</v>
      </c>
      <c r="I6" s="12">
        <v>3.4</v>
      </c>
      <c r="J6" s="12" t="e">
        <v>#N/A</v>
      </c>
      <c r="K6" s="12">
        <v>6.1</v>
      </c>
      <c r="L6" s="12">
        <v>2</v>
      </c>
      <c r="M6" s="12">
        <v>0.2</v>
      </c>
      <c r="N6" s="12">
        <v>2.2000000000000002</v>
      </c>
      <c r="O6" s="12">
        <v>6.1</v>
      </c>
      <c r="P6" s="12">
        <v>6.1</v>
      </c>
    </row>
    <row r="7" spans="1:16">
      <c r="A7" s="23">
        <v>45107</v>
      </c>
      <c r="B7" s="12">
        <v>4.5239599999999998</v>
      </c>
      <c r="C7" s="12">
        <v>3.3</v>
      </c>
      <c r="D7" s="12">
        <v>7.9</v>
      </c>
      <c r="E7" s="12">
        <v>1.9</v>
      </c>
      <c r="F7" s="12">
        <v>6.4</v>
      </c>
      <c r="G7" s="12">
        <v>2.9691800000000002</v>
      </c>
      <c r="H7" s="12">
        <v>2.8123</v>
      </c>
      <c r="I7" s="12">
        <v>2.7</v>
      </c>
      <c r="J7" s="12" t="e">
        <v>#N/A</v>
      </c>
      <c r="K7" s="12">
        <v>6.4</v>
      </c>
      <c r="L7" s="12">
        <v>1.9</v>
      </c>
      <c r="M7" s="12">
        <v>0</v>
      </c>
      <c r="N7" s="12">
        <v>1.7</v>
      </c>
      <c r="O7" s="12">
        <v>5.7</v>
      </c>
      <c r="P7" s="12">
        <v>5.5</v>
      </c>
    </row>
    <row r="8" spans="1:16">
      <c r="A8" s="24">
        <v>45138</v>
      </c>
      <c r="B8" s="12">
        <v>4.2863300000000004</v>
      </c>
      <c r="C8" s="12">
        <v>3.3</v>
      </c>
      <c r="D8" s="12">
        <v>6.8</v>
      </c>
      <c r="E8" s="12">
        <v>2.2999999999999998</v>
      </c>
      <c r="F8" s="12">
        <v>5.9</v>
      </c>
      <c r="G8" s="12">
        <v>3.1777799999999998</v>
      </c>
      <c r="H8" s="12">
        <v>3.2658399999999999</v>
      </c>
      <c r="I8" s="12">
        <v>2.4</v>
      </c>
      <c r="J8" s="12" t="e">
        <v>#N/A</v>
      </c>
      <c r="K8" s="12">
        <v>6.2</v>
      </c>
      <c r="L8" s="12">
        <v>1.8</v>
      </c>
      <c r="M8" s="12">
        <v>-0.3</v>
      </c>
      <c r="N8" s="12">
        <v>1.6</v>
      </c>
      <c r="O8" s="12">
        <v>4.5999999999999996</v>
      </c>
      <c r="P8" s="12">
        <v>5.3</v>
      </c>
    </row>
    <row r="9" spans="1:16">
      <c r="A9" s="23">
        <v>45169</v>
      </c>
      <c r="B9" s="12">
        <v>4.8538500000000004</v>
      </c>
      <c r="C9" s="12">
        <v>3.2</v>
      </c>
      <c r="D9" s="12">
        <v>6.7</v>
      </c>
      <c r="E9" s="12">
        <v>2.6</v>
      </c>
      <c r="F9" s="12">
        <v>5.4</v>
      </c>
      <c r="G9" s="12">
        <v>3.6651199999999999</v>
      </c>
      <c r="H9" s="12">
        <v>3.9973700000000001</v>
      </c>
      <c r="I9" s="12">
        <v>3.4</v>
      </c>
      <c r="J9" s="12" t="e">
        <v>#N/A</v>
      </c>
      <c r="K9" s="12">
        <v>6.1</v>
      </c>
      <c r="L9" s="12">
        <v>1.8</v>
      </c>
      <c r="M9" s="12">
        <v>0.1</v>
      </c>
      <c r="N9" s="12">
        <v>1.6</v>
      </c>
      <c r="O9" s="12">
        <v>3</v>
      </c>
      <c r="P9" s="12">
        <v>5.2</v>
      </c>
    </row>
    <row r="10" spans="1:16">
      <c r="A10" s="24">
        <v>45199</v>
      </c>
      <c r="B10" s="12">
        <v>4.9029100000000003</v>
      </c>
      <c r="C10" s="12">
        <v>3</v>
      </c>
      <c r="D10" s="12">
        <v>6.7</v>
      </c>
      <c r="E10" s="12">
        <v>3.5</v>
      </c>
      <c r="F10" s="12">
        <v>5.3</v>
      </c>
      <c r="G10" s="12">
        <v>3.6996899999999999</v>
      </c>
      <c r="H10" s="12">
        <v>3.7982999999999998</v>
      </c>
      <c r="I10" s="12">
        <v>3.7</v>
      </c>
      <c r="J10" s="12" t="e">
        <v>#N/A</v>
      </c>
      <c r="K10" s="12">
        <v>4.5</v>
      </c>
      <c r="L10" s="12">
        <v>2</v>
      </c>
      <c r="M10" s="12">
        <v>0</v>
      </c>
      <c r="N10" s="12">
        <v>1.7</v>
      </c>
      <c r="O10" s="12">
        <v>0.2</v>
      </c>
      <c r="P10" s="12">
        <v>4.3</v>
      </c>
    </row>
    <row r="11" spans="1:16">
      <c r="A11" s="23">
        <v>45230</v>
      </c>
      <c r="B11" s="12">
        <v>3.9821599999999999</v>
      </c>
      <c r="C11" s="12">
        <v>3.3</v>
      </c>
      <c r="D11" s="12">
        <v>4.5999999999999996</v>
      </c>
      <c r="E11" s="12">
        <v>3.5</v>
      </c>
      <c r="F11" s="12">
        <v>1.7</v>
      </c>
      <c r="G11" s="12">
        <v>3.2411400000000001</v>
      </c>
      <c r="H11" s="12">
        <v>3.12094</v>
      </c>
      <c r="I11" s="12">
        <v>3.8</v>
      </c>
      <c r="J11" s="12" t="e">
        <v>#N/A</v>
      </c>
      <c r="K11" s="12">
        <v>3.8</v>
      </c>
      <c r="L11" s="12">
        <v>2.7</v>
      </c>
      <c r="M11" s="12">
        <v>-0.2</v>
      </c>
      <c r="N11" s="12">
        <v>1.7</v>
      </c>
      <c r="O11" s="12">
        <v>-0.4</v>
      </c>
      <c r="P11" s="12">
        <v>2.9</v>
      </c>
    </row>
    <row r="12" spans="1:16">
      <c r="A12" s="24">
        <v>45260</v>
      </c>
      <c r="B12" s="12">
        <v>3.472</v>
      </c>
      <c r="C12" s="12">
        <v>2.8</v>
      </c>
      <c r="D12" s="12">
        <v>3.9</v>
      </c>
      <c r="E12" s="12">
        <v>3.2</v>
      </c>
      <c r="F12" s="12">
        <v>0.7</v>
      </c>
      <c r="G12" s="12">
        <v>3.13727</v>
      </c>
      <c r="H12" s="12">
        <v>3.1168800000000001</v>
      </c>
      <c r="I12" s="12">
        <v>3.3</v>
      </c>
      <c r="J12" s="12" t="e">
        <v>#N/A</v>
      </c>
      <c r="K12" s="12">
        <v>3.2</v>
      </c>
      <c r="L12" s="12">
        <v>2.6</v>
      </c>
      <c r="M12" s="12">
        <v>-0.5</v>
      </c>
      <c r="N12" s="12">
        <v>1.4</v>
      </c>
      <c r="O12" s="12">
        <v>1.7</v>
      </c>
      <c r="P12" s="12">
        <v>2.4</v>
      </c>
    </row>
    <row r="13" spans="1:16">
      <c r="A13" s="23">
        <v>45291</v>
      </c>
      <c r="B13" s="12">
        <v>3.7084100000000002</v>
      </c>
      <c r="C13" s="12">
        <v>2.6</v>
      </c>
      <c r="D13" s="12">
        <v>4</v>
      </c>
      <c r="E13" s="12">
        <v>3.1</v>
      </c>
      <c r="F13" s="12">
        <v>0.6</v>
      </c>
      <c r="G13" s="12">
        <v>3.3521200000000002</v>
      </c>
      <c r="H13" s="12">
        <v>3.3964699999999999</v>
      </c>
      <c r="I13" s="12">
        <v>3.2</v>
      </c>
      <c r="J13" s="12" t="e">
        <v>#N/A</v>
      </c>
      <c r="K13" s="12">
        <v>3.7</v>
      </c>
      <c r="L13" s="12">
        <v>2.4</v>
      </c>
      <c r="M13" s="12">
        <v>-0.3</v>
      </c>
      <c r="N13" s="12">
        <v>1.7</v>
      </c>
      <c r="O13" s="12">
        <v>1.2</v>
      </c>
      <c r="P13" s="12">
        <v>2.9</v>
      </c>
    </row>
    <row r="14" spans="1:16">
      <c r="A14" s="24">
        <v>45322</v>
      </c>
      <c r="B14" s="12">
        <v>3.1345700000000001</v>
      </c>
      <c r="C14" s="12">
        <v>2.2000000000000002</v>
      </c>
      <c r="D14" s="12">
        <v>4</v>
      </c>
      <c r="E14" s="12">
        <v>3.4</v>
      </c>
      <c r="F14" s="12">
        <v>0.8</v>
      </c>
      <c r="G14" s="12">
        <v>3.0908799999999998</v>
      </c>
      <c r="H14" s="12">
        <v>2.8590100000000001</v>
      </c>
      <c r="I14" s="12">
        <v>2.8</v>
      </c>
      <c r="J14" s="12" t="e">
        <v>#N/A</v>
      </c>
      <c r="K14" s="12">
        <v>2.9</v>
      </c>
      <c r="L14" s="12">
        <v>1.7</v>
      </c>
      <c r="M14" s="12">
        <v>-0.8</v>
      </c>
      <c r="N14" s="12">
        <v>1.3</v>
      </c>
      <c r="O14" s="12">
        <v>3.2</v>
      </c>
      <c r="P14" s="12">
        <v>2.8</v>
      </c>
    </row>
    <row r="15" spans="1:16">
      <c r="A15" s="23">
        <v>45351</v>
      </c>
      <c r="B15" s="12">
        <v>2.9562200000000001</v>
      </c>
      <c r="C15" s="12">
        <v>2.8</v>
      </c>
      <c r="D15" s="12">
        <v>3.4</v>
      </c>
      <c r="E15" s="12">
        <v>2.8</v>
      </c>
      <c r="F15" s="12">
        <v>0.8</v>
      </c>
      <c r="G15" s="12">
        <v>3.1531699999999998</v>
      </c>
      <c r="H15" s="12">
        <v>2.7831700000000001</v>
      </c>
      <c r="I15" s="12">
        <v>3.1</v>
      </c>
      <c r="J15" s="12" t="e">
        <v>#N/A</v>
      </c>
      <c r="K15" s="12">
        <v>2.5</v>
      </c>
      <c r="L15" s="12">
        <v>2.1</v>
      </c>
      <c r="M15" s="12">
        <v>0.7</v>
      </c>
      <c r="N15" s="12">
        <v>1.2</v>
      </c>
      <c r="O15" s="12">
        <v>2.8</v>
      </c>
      <c r="P15" s="12">
        <v>2.6</v>
      </c>
    </row>
    <row r="16" spans="1:16">
      <c r="A16" s="24">
        <v>45382</v>
      </c>
      <c r="B16" s="12">
        <v>2.2887300000000002</v>
      </c>
      <c r="C16" s="12">
        <v>2.7</v>
      </c>
      <c r="D16" s="12">
        <v>3.2</v>
      </c>
      <c r="E16" s="12">
        <v>3.2</v>
      </c>
      <c r="F16" s="12">
        <v>1.2</v>
      </c>
      <c r="G16" s="12">
        <v>3.4773900000000002</v>
      </c>
      <c r="H16" s="12">
        <v>2.8976199999999999</v>
      </c>
      <c r="I16" s="12">
        <v>3.1</v>
      </c>
      <c r="J16" s="12" t="e">
        <v>#N/A</v>
      </c>
      <c r="K16" s="12">
        <v>2.2000000000000002</v>
      </c>
      <c r="L16" s="12">
        <v>2</v>
      </c>
      <c r="M16" s="12">
        <v>0.1</v>
      </c>
      <c r="N16" s="12">
        <v>1</v>
      </c>
      <c r="O16" s="12">
        <v>3.1</v>
      </c>
      <c r="P16" s="12">
        <v>2.4</v>
      </c>
    </row>
    <row r="17" spans="1:16">
      <c r="A17" s="23">
        <v>45412</v>
      </c>
      <c r="B17" s="12">
        <v>2.1821899999999999</v>
      </c>
      <c r="C17" s="12">
        <v>2.5</v>
      </c>
      <c r="D17" s="12">
        <v>2.2999999999999998</v>
      </c>
      <c r="E17" s="12">
        <v>3.3</v>
      </c>
      <c r="F17" s="12">
        <v>0.8</v>
      </c>
      <c r="G17" s="12">
        <v>3.3573599999999999</v>
      </c>
      <c r="H17" s="12">
        <v>2.6854300000000002</v>
      </c>
      <c r="I17" s="12">
        <v>2.9</v>
      </c>
      <c r="J17" s="12" t="e">
        <v>#N/A</v>
      </c>
      <c r="K17" s="12">
        <v>2.2000000000000002</v>
      </c>
      <c r="L17" s="12">
        <v>1.1000000000000001</v>
      </c>
      <c r="M17" s="12">
        <v>0.3</v>
      </c>
      <c r="N17" s="12">
        <v>1.4</v>
      </c>
      <c r="O17" s="12">
        <v>2.7</v>
      </c>
      <c r="P17" s="12">
        <v>2.4</v>
      </c>
    </row>
    <row r="18" spans="1:16">
      <c r="A18" s="24">
        <v>45443</v>
      </c>
      <c r="B18" s="12">
        <v>2.2657099999999999</v>
      </c>
      <c r="C18" s="12">
        <v>2.8</v>
      </c>
      <c r="D18" s="12">
        <v>2</v>
      </c>
      <c r="E18" s="12">
        <v>3.6</v>
      </c>
      <c r="F18" s="12">
        <v>0.8</v>
      </c>
      <c r="G18" s="12">
        <v>3.2690199999999998</v>
      </c>
      <c r="H18" s="12">
        <v>2.8662399999999999</v>
      </c>
      <c r="I18" s="12">
        <v>2.7</v>
      </c>
      <c r="J18" s="12" t="e">
        <v>#N/A</v>
      </c>
      <c r="K18" s="12">
        <v>2.4</v>
      </c>
      <c r="L18" s="12">
        <v>1.2</v>
      </c>
      <c r="M18" s="12">
        <v>0.3</v>
      </c>
      <c r="N18" s="12">
        <v>1.4</v>
      </c>
      <c r="O18" s="12">
        <v>2.7</v>
      </c>
      <c r="P18" s="12">
        <v>2.6</v>
      </c>
    </row>
    <row r="19" spans="1:16">
      <c r="A19" s="23">
        <v>45473</v>
      </c>
      <c r="B19" s="12">
        <v>2.1692200000000001</v>
      </c>
      <c r="C19" s="12">
        <v>2.8</v>
      </c>
      <c r="D19" s="12">
        <v>2</v>
      </c>
      <c r="E19" s="12">
        <v>3.4</v>
      </c>
      <c r="F19" s="12">
        <v>0.8</v>
      </c>
      <c r="G19" s="12">
        <v>2.97139</v>
      </c>
      <c r="H19" s="12">
        <v>2.6717499999999998</v>
      </c>
      <c r="I19" s="12">
        <v>2.4</v>
      </c>
      <c r="J19" s="12" t="e">
        <v>#N/A</v>
      </c>
      <c r="K19" s="12">
        <v>2.2000000000000002</v>
      </c>
      <c r="L19" s="12">
        <v>1.5</v>
      </c>
      <c r="M19" s="12">
        <v>0.2</v>
      </c>
      <c r="N19" s="12">
        <v>1.3</v>
      </c>
      <c r="O19" s="12">
        <v>3.2</v>
      </c>
      <c r="P19" s="12">
        <v>2.5</v>
      </c>
    </row>
    <row r="20" spans="1:16">
      <c r="A20" s="24">
        <v>45504</v>
      </c>
      <c r="B20" s="12">
        <v>2.3016800000000002</v>
      </c>
      <c r="C20" s="12">
        <v>2.8</v>
      </c>
      <c r="D20" s="12">
        <v>2.2000000000000002</v>
      </c>
      <c r="E20" s="12">
        <v>2.8</v>
      </c>
      <c r="F20" s="12">
        <v>1.3</v>
      </c>
      <c r="G20" s="12">
        <v>2.8947500000000002</v>
      </c>
      <c r="H20" s="12">
        <v>2.5300400000000001</v>
      </c>
      <c r="I20" s="12">
        <v>2.6</v>
      </c>
      <c r="J20" s="12" t="e">
        <v>#N/A</v>
      </c>
      <c r="K20" s="12">
        <v>2.2999999999999998</v>
      </c>
      <c r="L20" s="12">
        <v>2.5</v>
      </c>
      <c r="M20" s="12">
        <v>0.5</v>
      </c>
      <c r="N20" s="12">
        <v>1.3</v>
      </c>
      <c r="O20" s="12">
        <v>3.7</v>
      </c>
      <c r="P20" s="12">
        <v>2.6</v>
      </c>
    </row>
    <row r="21" spans="1:16">
      <c r="A21" s="23">
        <v>45535</v>
      </c>
      <c r="B21" s="12">
        <v>1.83131</v>
      </c>
      <c r="C21" s="12">
        <v>3</v>
      </c>
      <c r="D21" s="12">
        <v>2.2000000000000002</v>
      </c>
      <c r="E21" s="12">
        <v>2.2999999999999998</v>
      </c>
      <c r="F21" s="12">
        <v>1.1000000000000001</v>
      </c>
      <c r="G21" s="12">
        <v>2.5307300000000001</v>
      </c>
      <c r="H21" s="12">
        <v>1.9533700000000001</v>
      </c>
      <c r="I21" s="12">
        <v>2</v>
      </c>
      <c r="J21" s="12" t="e">
        <v>#N/A</v>
      </c>
      <c r="K21" s="12">
        <v>1.9</v>
      </c>
      <c r="L21" s="12">
        <v>2.5</v>
      </c>
      <c r="M21" s="12">
        <v>0.6</v>
      </c>
      <c r="N21" s="12">
        <v>1.1000000000000001</v>
      </c>
      <c r="O21" s="12">
        <v>3.6</v>
      </c>
      <c r="P21" s="12">
        <v>2.2000000000000002</v>
      </c>
    </row>
    <row r="22" spans="1:16">
      <c r="A22" s="24">
        <v>45565</v>
      </c>
      <c r="B22" s="12">
        <v>1.09429</v>
      </c>
      <c r="C22" s="12">
        <v>2.5</v>
      </c>
      <c r="D22" s="12">
        <v>1.7</v>
      </c>
      <c r="E22" s="12">
        <v>1.5</v>
      </c>
      <c r="F22" s="12">
        <v>0.7</v>
      </c>
      <c r="G22" s="12">
        <v>2.4406300000000001</v>
      </c>
      <c r="H22" s="12">
        <v>1.6403799999999999</v>
      </c>
      <c r="I22" s="12">
        <v>1.6</v>
      </c>
      <c r="J22" s="12" t="e">
        <v>#N/A</v>
      </c>
      <c r="K22" s="12">
        <v>1.6</v>
      </c>
      <c r="L22" s="12">
        <v>2.2000000000000002</v>
      </c>
      <c r="M22" s="12">
        <v>0.4</v>
      </c>
      <c r="N22" s="12">
        <v>0.8</v>
      </c>
      <c r="O22" s="12">
        <v>3.5</v>
      </c>
      <c r="P22" s="12">
        <v>1.7</v>
      </c>
    </row>
    <row r="23" spans="1:16">
      <c r="A23" s="23">
        <v>45596</v>
      </c>
      <c r="B23" s="12">
        <v>1.2357</v>
      </c>
      <c r="C23" s="12">
        <v>2.2999999999999998</v>
      </c>
      <c r="D23" s="12">
        <v>2.2999999999999998</v>
      </c>
      <c r="E23" s="12">
        <v>1.8</v>
      </c>
      <c r="F23" s="12">
        <v>0.9</v>
      </c>
      <c r="G23" s="12">
        <v>2.5979100000000002</v>
      </c>
      <c r="H23" s="12">
        <v>2.0176500000000002</v>
      </c>
      <c r="I23" s="12">
        <v>1.3</v>
      </c>
      <c r="J23" s="12" t="e">
        <v>#N/A</v>
      </c>
      <c r="K23" s="12">
        <v>2</v>
      </c>
      <c r="L23" s="12">
        <v>1.4</v>
      </c>
      <c r="M23" s="12">
        <v>0.3</v>
      </c>
      <c r="N23" s="12">
        <v>0.6</v>
      </c>
      <c r="O23" s="12">
        <v>3.5</v>
      </c>
      <c r="P23" s="12">
        <v>2</v>
      </c>
    </row>
    <row r="24" spans="1:16">
      <c r="A24" s="24">
        <v>45626</v>
      </c>
      <c r="B24" s="12">
        <v>1.2583200000000001</v>
      </c>
      <c r="C24" s="12">
        <v>2.9</v>
      </c>
      <c r="D24" s="12">
        <v>2.6</v>
      </c>
      <c r="E24" s="12">
        <v>2.4</v>
      </c>
      <c r="F24" s="12">
        <v>1.3</v>
      </c>
      <c r="G24" s="12">
        <v>2.74939</v>
      </c>
      <c r="H24" s="12">
        <v>1.88917</v>
      </c>
      <c r="I24" s="12">
        <v>1.5</v>
      </c>
      <c r="J24" s="12" t="e">
        <v>#N/A</v>
      </c>
      <c r="K24" s="12">
        <v>2.2000000000000002</v>
      </c>
      <c r="L24" s="12">
        <v>1.4</v>
      </c>
      <c r="M24" s="12">
        <v>0.2</v>
      </c>
      <c r="N24" s="12">
        <v>0.7</v>
      </c>
      <c r="O24" s="12">
        <v>4</v>
      </c>
      <c r="P24" s="12">
        <v>2.2000000000000002</v>
      </c>
    </row>
    <row r="25" spans="1:16">
      <c r="A25" s="23">
        <v>45657</v>
      </c>
      <c r="B25" s="12">
        <v>1.3179399999999999</v>
      </c>
      <c r="C25" s="12">
        <v>3.6</v>
      </c>
      <c r="D25" s="12">
        <v>2.5</v>
      </c>
      <c r="E25" s="12">
        <v>2.8</v>
      </c>
      <c r="F25" s="12">
        <v>1.3</v>
      </c>
      <c r="G25" s="12">
        <v>2.8880599999999998</v>
      </c>
      <c r="H25" s="12">
        <v>1.83196</v>
      </c>
      <c r="I25" s="12">
        <v>1.9</v>
      </c>
      <c r="J25" s="12" t="e">
        <v>#N/A</v>
      </c>
      <c r="K25" s="12">
        <v>2.6</v>
      </c>
      <c r="L25" s="12">
        <v>1.4</v>
      </c>
      <c r="M25" s="12">
        <v>0.1</v>
      </c>
      <c r="N25" s="12">
        <v>0.6</v>
      </c>
      <c r="O25" s="12">
        <v>4.0999999999999996</v>
      </c>
      <c r="P25" s="12">
        <v>2.4</v>
      </c>
    </row>
    <row r="26" spans="1:16">
      <c r="A26" s="24">
        <v>45688</v>
      </c>
      <c r="B26" s="12">
        <v>1.64757</v>
      </c>
      <c r="C26" s="12">
        <v>4</v>
      </c>
      <c r="D26" s="12">
        <v>3</v>
      </c>
      <c r="E26" s="12">
        <v>2.9</v>
      </c>
      <c r="F26" s="12">
        <v>1.5</v>
      </c>
      <c r="G26" s="12">
        <v>3.00048</v>
      </c>
      <c r="H26" s="12">
        <v>1.89514</v>
      </c>
      <c r="I26" s="12">
        <v>2.2000000000000002</v>
      </c>
      <c r="J26" s="12" t="e">
        <v>#N/A</v>
      </c>
      <c r="K26" s="12">
        <v>2.2999999999999998</v>
      </c>
      <c r="L26" s="12">
        <v>2</v>
      </c>
      <c r="M26" s="12">
        <v>0.5</v>
      </c>
      <c r="N26" s="12">
        <v>0.4</v>
      </c>
      <c r="O26" s="12">
        <v>3.3</v>
      </c>
      <c r="P26" s="12">
        <v>2.5</v>
      </c>
    </row>
    <row r="27" spans="1:16">
      <c r="A27" s="23">
        <v>45716</v>
      </c>
      <c r="B27" s="12">
        <v>0.80154000000000003</v>
      </c>
      <c r="C27" s="12">
        <v>3.7</v>
      </c>
      <c r="D27" s="12">
        <v>2.8</v>
      </c>
      <c r="E27" s="12">
        <v>3</v>
      </c>
      <c r="F27" s="12">
        <v>1.6</v>
      </c>
      <c r="G27" s="12">
        <v>2.8215499999999998</v>
      </c>
      <c r="H27" s="12">
        <v>2.6448299999999998</v>
      </c>
      <c r="I27" s="12">
        <v>2</v>
      </c>
      <c r="J27" s="12" t="e">
        <v>#N/A</v>
      </c>
      <c r="K27" s="12">
        <v>2.2999999999999998</v>
      </c>
      <c r="L27" s="12">
        <v>1.4</v>
      </c>
      <c r="M27" s="12">
        <v>-0.7</v>
      </c>
      <c r="N27" s="12">
        <v>0.3</v>
      </c>
      <c r="O27" s="12">
        <v>3.7</v>
      </c>
      <c r="P27" s="12">
        <v>2.2999999999999998</v>
      </c>
    </row>
    <row r="28" spans="1:16">
      <c r="A28" s="24">
        <v>45747</v>
      </c>
      <c r="B28" s="12">
        <v>0.76946999999999999</v>
      </c>
      <c r="C28" s="12">
        <v>3.6</v>
      </c>
      <c r="D28" s="12">
        <v>2.6</v>
      </c>
      <c r="E28" s="12">
        <v>2.2999999999999998</v>
      </c>
      <c r="F28" s="12">
        <v>1.9</v>
      </c>
      <c r="G28" s="12">
        <v>2.39073</v>
      </c>
      <c r="H28" s="12">
        <v>2.3153899999999998</v>
      </c>
      <c r="I28" s="12">
        <v>2.1</v>
      </c>
      <c r="J28" s="12" t="e">
        <v>#N/A</v>
      </c>
      <c r="K28" s="12">
        <v>2.2000000000000002</v>
      </c>
      <c r="L28" s="12">
        <v>1.4</v>
      </c>
      <c r="M28" s="12">
        <v>-0.1</v>
      </c>
      <c r="N28" s="12">
        <v>0.3</v>
      </c>
      <c r="O28" s="12">
        <v>3.6</v>
      </c>
      <c r="P28" s="12">
        <v>2.2000000000000002</v>
      </c>
    </row>
    <row r="29" spans="1:16">
      <c r="A29" s="23">
        <v>45777</v>
      </c>
      <c r="B29" s="12">
        <v>0.82603000000000004</v>
      </c>
      <c r="C29" s="12">
        <v>3.6</v>
      </c>
      <c r="D29" s="12">
        <v>3.5</v>
      </c>
      <c r="E29" s="12">
        <v>2.2000000000000002</v>
      </c>
      <c r="F29" s="12">
        <v>1.9</v>
      </c>
      <c r="G29" s="12">
        <v>2.3112900000000001</v>
      </c>
      <c r="H29" s="12">
        <v>1.7434499999999999</v>
      </c>
      <c r="I29" s="12">
        <v>2.1</v>
      </c>
      <c r="J29" s="12">
        <v>2.4</v>
      </c>
      <c r="K29" s="12">
        <v>2.1</v>
      </c>
      <c r="L29" s="12">
        <v>2</v>
      </c>
      <c r="M29" s="12">
        <v>-0.1</v>
      </c>
      <c r="N29" s="12">
        <v>0</v>
      </c>
      <c r="O29" s="12">
        <v>4</v>
      </c>
      <c r="P29" s="12">
        <v>2.2000000000000002</v>
      </c>
    </row>
    <row r="30" spans="1:16">
      <c r="A30" s="25">
        <v>45808</v>
      </c>
      <c r="B30">
        <v>0.66464999999999996</v>
      </c>
      <c r="C30">
        <v>3.5</v>
      </c>
      <c r="D30">
        <v>3.4</v>
      </c>
      <c r="E30">
        <v>2</v>
      </c>
      <c r="F30">
        <v>1.6</v>
      </c>
      <c r="G30">
        <v>2.3549000000000002</v>
      </c>
      <c r="H30">
        <v>1.7337499999999999</v>
      </c>
      <c r="I30">
        <v>1.9</v>
      </c>
      <c r="J30">
        <v>2.1</v>
      </c>
      <c r="K30">
        <v>2.1</v>
      </c>
      <c r="L30">
        <v>1.9</v>
      </c>
      <c r="M30">
        <v>-0.1</v>
      </c>
      <c r="N30">
        <v>-0.1</v>
      </c>
      <c r="O30">
        <v>3.2</v>
      </c>
      <c r="P30">
        <v>1.9</v>
      </c>
    </row>
    <row r="31" spans="1:16">
      <c r="A31" s="25">
        <v>45838</v>
      </c>
      <c r="B31">
        <v>0.96599000000000002</v>
      </c>
      <c r="C31">
        <v>3.3</v>
      </c>
      <c r="D31">
        <v>3.6</v>
      </c>
      <c r="E31">
        <v>2.2999999999999998</v>
      </c>
      <c r="F31">
        <v>1.7</v>
      </c>
      <c r="G31">
        <v>2.6692200000000001</v>
      </c>
      <c r="H31">
        <v>1.8587400000000001</v>
      </c>
      <c r="I31">
        <v>2.2000000000000002</v>
      </c>
      <c r="J31">
        <v>1.9</v>
      </c>
      <c r="K31">
        <v>2</v>
      </c>
      <c r="L31">
        <v>1.4</v>
      </c>
      <c r="M31">
        <v>0.1</v>
      </c>
      <c r="N31">
        <v>0.1</v>
      </c>
      <c r="O31">
        <v>3</v>
      </c>
      <c r="P31">
        <v>2</v>
      </c>
    </row>
    <row r="32" spans="1:16">
      <c r="A32" s="25">
        <v>45869</v>
      </c>
      <c r="B32">
        <v>0.99438000000000004</v>
      </c>
      <c r="C32">
        <v>3.1</v>
      </c>
      <c r="D32">
        <v>3.8</v>
      </c>
      <c r="E32">
        <v>2.7</v>
      </c>
      <c r="F32">
        <v>1.7</v>
      </c>
      <c r="G32">
        <v>2.7048999999999999</v>
      </c>
      <c r="H32">
        <v>1.72732</v>
      </c>
      <c r="I32">
        <v>2.1</v>
      </c>
      <c r="J32">
        <v>3</v>
      </c>
      <c r="K32">
        <v>2</v>
      </c>
      <c r="L32">
        <v>1</v>
      </c>
      <c r="M32">
        <v>0</v>
      </c>
      <c r="N32">
        <v>0.2</v>
      </c>
      <c r="O32">
        <v>2.9</v>
      </c>
      <c r="P32">
        <v>2</v>
      </c>
    </row>
    <row r="33" spans="1:16">
      <c r="A33" s="25">
        <v>45900</v>
      </c>
      <c r="B33">
        <v>0.87921000000000005</v>
      </c>
      <c r="C33">
        <v>2.7</v>
      </c>
      <c r="D33">
        <v>3.8</v>
      </c>
      <c r="E33">
        <v>2.7</v>
      </c>
      <c r="F33">
        <v>1.6</v>
      </c>
      <c r="G33">
        <v>2.9161800000000002</v>
      </c>
      <c r="H33">
        <v>1.8541399999999999</v>
      </c>
      <c r="I33">
        <v>1.7</v>
      </c>
      <c r="J33">
        <v>3.2</v>
      </c>
      <c r="K33">
        <v>2.2000000000000002</v>
      </c>
      <c r="L33">
        <v>1.1000000000000001</v>
      </c>
      <c r="M33">
        <v>-0.4</v>
      </c>
      <c r="N33">
        <v>0.2</v>
      </c>
      <c r="O33">
        <v>2.8</v>
      </c>
      <c r="P33">
        <v>2</v>
      </c>
    </row>
    <row r="34" spans="1:16">
      <c r="A34" s="25">
        <v>45930</v>
      </c>
      <c r="B34">
        <v>1.15326</v>
      </c>
      <c r="C34">
        <v>2.9</v>
      </c>
      <c r="D34">
        <v>3.8</v>
      </c>
      <c r="E34">
        <v>3</v>
      </c>
      <c r="F34">
        <v>1.6</v>
      </c>
      <c r="G34">
        <v>3.01267</v>
      </c>
      <c r="H34">
        <v>2.3587799999999999</v>
      </c>
      <c r="I34">
        <v>2.1</v>
      </c>
      <c r="J34">
        <v>3.6</v>
      </c>
      <c r="K34">
        <v>2.4</v>
      </c>
      <c r="L34">
        <v>1.1000000000000001</v>
      </c>
      <c r="M34">
        <v>-0.3</v>
      </c>
      <c r="N34">
        <v>0.2</v>
      </c>
      <c r="O34">
        <v>3.2</v>
      </c>
      <c r="P34">
        <v>2.2000000000000002</v>
      </c>
    </row>
    <row r="35" spans="1:16">
      <c r="A35" s="25">
        <v>45961</v>
      </c>
      <c r="B35">
        <v>0.9</v>
      </c>
      <c r="C35">
        <v>3</v>
      </c>
      <c r="D35">
        <v>3.6</v>
      </c>
      <c r="E35">
        <v>3.1</v>
      </c>
      <c r="F35">
        <v>1.2</v>
      </c>
      <c r="G35" t="e">
        <v>#N/A</v>
      </c>
      <c r="H35">
        <v>2.16316</v>
      </c>
      <c r="I35">
        <v>2.4</v>
      </c>
      <c r="J35">
        <v>3.8</v>
      </c>
      <c r="K35">
        <v>2.2999999999999998</v>
      </c>
      <c r="L35">
        <v>1.2</v>
      </c>
      <c r="M35">
        <v>0.2</v>
      </c>
      <c r="N35">
        <v>0.1</v>
      </c>
      <c r="O35">
        <v>3.1</v>
      </c>
      <c r="P35">
        <v>2.1</v>
      </c>
    </row>
    <row r="36" spans="1:16">
      <c r="A36" s="25">
        <v>45991</v>
      </c>
      <c r="B36">
        <v>0.9</v>
      </c>
      <c r="C36">
        <v>2.9</v>
      </c>
      <c r="D36">
        <v>3.2</v>
      </c>
      <c r="E36">
        <v>3</v>
      </c>
      <c r="F36">
        <v>1.1000000000000001</v>
      </c>
      <c r="G36">
        <v>2.73508</v>
      </c>
      <c r="H36">
        <v>2.2249599999999998</v>
      </c>
      <c r="I36">
        <v>2.4</v>
      </c>
      <c r="J36">
        <v>3.4</v>
      </c>
      <c r="K36">
        <v>2.2999999999999998</v>
      </c>
      <c r="L36">
        <v>1.2</v>
      </c>
      <c r="M36">
        <v>0.7</v>
      </c>
      <c r="N36">
        <v>0</v>
      </c>
      <c r="O36">
        <v>2.8</v>
      </c>
      <c r="P36">
        <v>2.1</v>
      </c>
    </row>
    <row r="37" spans="1:16">
      <c r="A37" s="25">
        <v>46022</v>
      </c>
      <c r="B37">
        <v>0.8</v>
      </c>
      <c r="C37">
        <v>2.1</v>
      </c>
      <c r="D37">
        <v>3.4</v>
      </c>
      <c r="E37">
        <v>2.9</v>
      </c>
      <c r="F37">
        <v>1.2</v>
      </c>
      <c r="G37">
        <v>2.6770700000000001</v>
      </c>
      <c r="H37">
        <v>2.3573200000000001</v>
      </c>
      <c r="I37">
        <v>2.2999999999999998</v>
      </c>
      <c r="J37">
        <v>3.8</v>
      </c>
      <c r="K37">
        <v>1.8</v>
      </c>
      <c r="L37">
        <v>1.4</v>
      </c>
      <c r="M37">
        <v>0.8</v>
      </c>
      <c r="N37">
        <v>0.1</v>
      </c>
      <c r="O37">
        <v>2.9</v>
      </c>
      <c r="P37">
        <v>2</v>
      </c>
    </row>
    <row r="38" spans="1:16">
      <c r="A38" s="25">
        <v>46053</v>
      </c>
      <c r="B38">
        <v>0.3</v>
      </c>
      <c r="C38">
        <v>1.5</v>
      </c>
      <c r="D38">
        <v>3</v>
      </c>
      <c r="E38">
        <v>2.2999999999999998</v>
      </c>
      <c r="F38">
        <v>1</v>
      </c>
      <c r="G38">
        <v>2.3864399999999999</v>
      </c>
      <c r="H38">
        <v>2.29386</v>
      </c>
      <c r="I38">
        <v>2</v>
      </c>
      <c r="J38">
        <v>3.8</v>
      </c>
      <c r="K38">
        <v>2.1</v>
      </c>
      <c r="L38">
        <v>1.1000000000000001</v>
      </c>
      <c r="M38">
        <v>0.2</v>
      </c>
      <c r="N38">
        <v>0.1</v>
      </c>
      <c r="O38">
        <v>2.4</v>
      </c>
      <c r="P38">
        <v>1.7</v>
      </c>
    </row>
    <row r="39" spans="1:16">
      <c r="A39" s="25">
        <v>46081</v>
      </c>
      <c r="B39">
        <v>0.9</v>
      </c>
      <c r="C39">
        <v>1.3</v>
      </c>
      <c r="D39">
        <v>3</v>
      </c>
      <c r="E39">
        <v>2.2999999999999998</v>
      </c>
      <c r="F39">
        <v>1.5</v>
      </c>
      <c r="G39">
        <v>2.41411</v>
      </c>
      <c r="H39">
        <v>1.7791399999999999</v>
      </c>
      <c r="I39">
        <v>2</v>
      </c>
      <c r="J39">
        <v>3.7</v>
      </c>
      <c r="K39">
        <v>1.9</v>
      </c>
      <c r="L39">
        <v>1.7</v>
      </c>
      <c r="M39">
        <v>1.3</v>
      </c>
      <c r="N39">
        <v>0.1</v>
      </c>
      <c r="O39">
        <v>2.4</v>
      </c>
      <c r="P39">
        <v>1.9</v>
      </c>
    </row>
    <row r="40" spans="1:16">
      <c r="A40" s="25">
        <v>46112</v>
      </c>
      <c r="B40">
        <v>1.7</v>
      </c>
      <c r="C40">
        <v>1.5</v>
      </c>
      <c r="D40">
        <v>3.3</v>
      </c>
      <c r="E40">
        <v>3.4</v>
      </c>
      <c r="F40">
        <v>1.7</v>
      </c>
      <c r="G40">
        <v>3.2564199999999999</v>
      </c>
      <c r="H40">
        <v>2.3853200000000001</v>
      </c>
      <c r="I40">
        <v>2.2000000000000002</v>
      </c>
      <c r="J40">
        <v>4.5999999999999996</v>
      </c>
      <c r="K40">
        <v>2.7</v>
      </c>
      <c r="L40">
        <v>1.7</v>
      </c>
      <c r="M40">
        <v>1</v>
      </c>
      <c r="N40">
        <v>0.3</v>
      </c>
      <c r="O40">
        <v>2.7</v>
      </c>
      <c r="P40">
        <v>2.6</v>
      </c>
    </row>
    <row r="41" spans="1:16">
      <c r="A41" s="25">
        <v>46142</v>
      </c>
      <c r="B41">
        <v>2.158058</v>
      </c>
      <c r="C41" t="e">
        <v>#N/A</v>
      </c>
      <c r="D41" t="e">
        <v>#N/A</v>
      </c>
      <c r="E41">
        <v>3.2</v>
      </c>
      <c r="F41">
        <v>2.7</v>
      </c>
      <c r="G41">
        <v>3.8108399999999998</v>
      </c>
      <c r="H41" t="e">
        <v>#N/A</v>
      </c>
      <c r="I41">
        <v>2.6</v>
      </c>
      <c r="J41" t="e">
        <v>#N/A</v>
      </c>
      <c r="K41">
        <v>2.9</v>
      </c>
      <c r="L41" t="e">
        <v>#N/A</v>
      </c>
      <c r="M41">
        <v>1.2</v>
      </c>
      <c r="N41">
        <v>0.6</v>
      </c>
      <c r="O41">
        <v>2.8</v>
      </c>
      <c r="P41">
        <v>3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pane xSplit="1" ySplit="5" topLeftCell="B6" activePane="bottomRight" state="frozen"/>
      <selection pane="topRight"/>
      <selection pane="bottomLeft"/>
      <selection pane="bottomRight" activeCell="D23" sqref="D23"/>
    </sheetView>
  </sheetViews>
  <sheetFormatPr defaultRowHeight="15"/>
  <cols>
    <col min="1" max="1" width="36" customWidth="1"/>
    <col min="2" max="16" width="15" customWidth="1"/>
  </cols>
  <sheetData>
    <row r="1" spans="1:16" ht="18">
      <c r="A1" s="1" t="s">
        <v>136</v>
      </c>
    </row>
    <row r="2" spans="1:16">
      <c r="A2" s="2" t="s">
        <v>137</v>
      </c>
    </row>
    <row r="3" spans="1:16">
      <c r="B3" s="6" t="s">
        <v>39</v>
      </c>
      <c r="C3" s="6" t="s">
        <v>42</v>
      </c>
      <c r="D3" s="6" t="s">
        <v>44</v>
      </c>
      <c r="E3" s="6" t="s">
        <v>46</v>
      </c>
      <c r="F3" s="6" t="s">
        <v>48</v>
      </c>
      <c r="G3" s="6" t="s">
        <v>50</v>
      </c>
      <c r="H3" s="6" t="s">
        <v>52</v>
      </c>
      <c r="I3" s="6" t="s">
        <v>54</v>
      </c>
      <c r="J3" s="6" t="s">
        <v>56</v>
      </c>
      <c r="K3" s="6" t="s">
        <v>58</v>
      </c>
      <c r="L3" s="6" t="s">
        <v>60</v>
      </c>
      <c r="M3" s="6" t="s">
        <v>63</v>
      </c>
      <c r="N3" s="6" t="s">
        <v>65</v>
      </c>
      <c r="O3" s="6" t="s">
        <v>67</v>
      </c>
      <c r="P3" s="6" t="s">
        <v>69</v>
      </c>
    </row>
    <row r="4" spans="1:16">
      <c r="A4" s="7" t="s">
        <v>110</v>
      </c>
      <c r="B4" s="8" t="s">
        <v>38</v>
      </c>
      <c r="C4" s="8" t="s">
        <v>41</v>
      </c>
      <c r="D4" s="8" t="s">
        <v>43</v>
      </c>
      <c r="E4" s="8" t="s">
        <v>45</v>
      </c>
      <c r="F4" s="8" t="s">
        <v>47</v>
      </c>
      <c r="G4" s="8" t="s">
        <v>49</v>
      </c>
      <c r="H4" s="8" t="s">
        <v>51</v>
      </c>
      <c r="I4" s="8" t="s">
        <v>53</v>
      </c>
      <c r="J4" s="8" t="s">
        <v>55</v>
      </c>
      <c r="K4" s="8" t="s">
        <v>57</v>
      </c>
      <c r="L4" s="8" t="s">
        <v>59</v>
      </c>
      <c r="M4" s="8" t="s">
        <v>62</v>
      </c>
      <c r="N4" s="8" t="s">
        <v>64</v>
      </c>
      <c r="O4" s="8" t="s">
        <v>66</v>
      </c>
      <c r="P4" s="8" t="s">
        <v>68</v>
      </c>
    </row>
    <row r="5" spans="1:16">
      <c r="A5" s="9" t="s">
        <v>111</v>
      </c>
      <c r="B5" s="10" t="s">
        <v>138</v>
      </c>
      <c r="C5" s="10" t="s">
        <v>139</v>
      </c>
      <c r="D5" s="10" t="s">
        <v>140</v>
      </c>
      <c r="E5" s="10" t="s">
        <v>141</v>
      </c>
      <c r="F5" s="10" t="s">
        <v>142</v>
      </c>
      <c r="G5" s="10" t="s">
        <v>143</v>
      </c>
      <c r="H5" s="10" t="s">
        <v>144</v>
      </c>
      <c r="I5" s="10" t="s">
        <v>145</v>
      </c>
      <c r="J5" s="10" t="s">
        <v>146</v>
      </c>
      <c r="K5" s="10" t="s">
        <v>147</v>
      </c>
      <c r="L5" s="10" t="s">
        <v>178</v>
      </c>
      <c r="M5" s="10" t="s">
        <v>179</v>
      </c>
      <c r="N5" s="10" t="s">
        <v>185</v>
      </c>
      <c r="O5" s="10" t="s">
        <v>183</v>
      </c>
      <c r="P5" s="10" t="s">
        <v>184</v>
      </c>
    </row>
    <row r="6" spans="1:16">
      <c r="A6" s="24">
        <f>_xll.BQL($B$5:$P$5, "px_last(dates=range(-2000D, 10D), fill=NA,per=Y)", "showids", "false", "showheaders", "false", "showallcols", "false","cols=16;rows=9")</f>
        <v>44196</v>
      </c>
      <c r="B6" s="12">
        <v>-8.9</v>
      </c>
      <c r="C6" s="12">
        <v>-9.02</v>
      </c>
      <c r="D6" s="12">
        <v>-12.96</v>
      </c>
      <c r="E6" s="12">
        <v>-9.9</v>
      </c>
      <c r="F6" s="12">
        <v>-9.4</v>
      </c>
      <c r="G6" s="12">
        <v>-15.2</v>
      </c>
      <c r="H6" s="12">
        <v>-1.69</v>
      </c>
      <c r="I6" s="12">
        <v>-2.69</v>
      </c>
      <c r="J6" s="12">
        <v>-12.25</v>
      </c>
      <c r="K6" s="12">
        <v>-4.4000000000000004</v>
      </c>
      <c r="L6" s="12">
        <v>-8.57</v>
      </c>
      <c r="M6" s="12">
        <v>-6.19</v>
      </c>
      <c r="N6" s="12">
        <v>-3.06</v>
      </c>
      <c r="O6" s="12">
        <v>-3.7</v>
      </c>
      <c r="P6" s="12">
        <v>-6.7206479999999997</v>
      </c>
    </row>
    <row r="7" spans="1:16">
      <c r="A7" s="23">
        <v>44561</v>
      </c>
      <c r="B7" s="12">
        <v>-6.6</v>
      </c>
      <c r="C7" s="12">
        <v>-6.15</v>
      </c>
      <c r="D7" s="12">
        <v>-7.28</v>
      </c>
      <c r="E7" s="12">
        <v>-6.7</v>
      </c>
      <c r="F7" s="12">
        <v>-8.9</v>
      </c>
      <c r="G7" s="12">
        <v>-10.41</v>
      </c>
      <c r="H7" s="12">
        <v>-12.32</v>
      </c>
      <c r="I7" s="12">
        <v>-0.31</v>
      </c>
      <c r="J7" s="12">
        <v>-3.98</v>
      </c>
      <c r="K7" s="12">
        <v>-3.2</v>
      </c>
      <c r="L7" s="12">
        <v>1.32</v>
      </c>
      <c r="M7" s="12">
        <v>-3.75</v>
      </c>
      <c r="N7" s="12">
        <v>-0.31</v>
      </c>
      <c r="O7" s="12">
        <v>-2.2000000000000002</v>
      </c>
      <c r="P7" s="12">
        <v>-4.63</v>
      </c>
    </row>
    <row r="8" spans="1:16">
      <c r="A8" s="24">
        <v>44925</v>
      </c>
      <c r="B8" s="12" t="e">
        <v>#N/A</v>
      </c>
      <c r="C8" s="12" t="e">
        <v>#N/A</v>
      </c>
      <c r="D8" s="12" t="e">
        <v>#N/A</v>
      </c>
      <c r="E8" s="12" t="e">
        <v>#N/A</v>
      </c>
      <c r="F8" s="12" t="e">
        <v>#N/A</v>
      </c>
      <c r="G8" s="12" t="e">
        <v>#N/A</v>
      </c>
      <c r="H8" s="12" t="e">
        <v>#N/A</v>
      </c>
      <c r="I8" s="12" t="e">
        <v>#N/A</v>
      </c>
      <c r="J8" s="12" t="e">
        <v>#N/A</v>
      </c>
      <c r="K8" s="12" t="e">
        <v>#N/A</v>
      </c>
      <c r="L8" s="12">
        <v>-7.9734699999999998</v>
      </c>
      <c r="M8" s="12" t="e">
        <v>#N/A</v>
      </c>
      <c r="N8" s="12" t="e">
        <v>#N/A</v>
      </c>
      <c r="O8" s="12" t="e">
        <v>#N/A</v>
      </c>
      <c r="P8" s="12" t="e">
        <v>#N/A</v>
      </c>
    </row>
    <row r="9" spans="1:16">
      <c r="A9" s="23">
        <v>44926</v>
      </c>
      <c r="B9" s="12">
        <v>-4.7</v>
      </c>
      <c r="C9" s="12">
        <v>-4.2080000000000002</v>
      </c>
      <c r="D9" s="12">
        <v>-4.1500000000000004</v>
      </c>
      <c r="E9" s="12">
        <v>-4.5999999999999996</v>
      </c>
      <c r="F9" s="12">
        <v>-8.1</v>
      </c>
      <c r="G9" s="12">
        <v>-5.3085740000000001</v>
      </c>
      <c r="H9" s="12">
        <v>-3.1231840000000002</v>
      </c>
      <c r="I9" s="12">
        <v>-8.0000000000000002E-3</v>
      </c>
      <c r="J9" s="12">
        <v>-1.1359999999999999</v>
      </c>
      <c r="K9" s="12">
        <v>-1.9</v>
      </c>
      <c r="L9" s="12" t="e">
        <v>#N/A</v>
      </c>
      <c r="M9" s="12">
        <v>-4.6111409999999999</v>
      </c>
      <c r="N9" s="12">
        <v>1.2669999999999999</v>
      </c>
      <c r="O9" s="12">
        <v>0</v>
      </c>
      <c r="P9" s="12">
        <v>-3.1503109999999999</v>
      </c>
    </row>
    <row r="10" spans="1:16">
      <c r="A10" s="24">
        <v>45289</v>
      </c>
      <c r="B10" s="12" t="e">
        <v>#N/A</v>
      </c>
      <c r="C10" s="12" t="e">
        <v>#N/A</v>
      </c>
      <c r="D10" s="12" t="e">
        <v>#N/A</v>
      </c>
      <c r="E10" s="12" t="e">
        <v>#N/A</v>
      </c>
      <c r="F10" s="12" t="e">
        <v>#N/A</v>
      </c>
      <c r="G10" s="12" t="e">
        <v>#N/A</v>
      </c>
      <c r="H10" s="12" t="e">
        <v>#N/A</v>
      </c>
      <c r="I10" s="12" t="e">
        <v>#N/A</v>
      </c>
      <c r="J10" s="12" t="e">
        <v>#N/A</v>
      </c>
      <c r="K10" s="12" t="e">
        <v>#N/A</v>
      </c>
      <c r="L10" s="12">
        <v>-6.5032810000000003</v>
      </c>
      <c r="M10" s="12" t="e">
        <v>#N/A</v>
      </c>
      <c r="N10" s="12" t="e">
        <v>#N/A</v>
      </c>
      <c r="O10" s="12" t="e">
        <v>#N/A</v>
      </c>
      <c r="P10" s="12" t="e">
        <v>#N/A</v>
      </c>
    </row>
    <row r="11" spans="1:16">
      <c r="A11" s="25">
        <v>45291</v>
      </c>
      <c r="B11">
        <v>-5.4</v>
      </c>
      <c r="C11">
        <v>-2.2599999999999998</v>
      </c>
      <c r="D11">
        <v>-5.2024520000000001</v>
      </c>
      <c r="E11">
        <v>-3.3</v>
      </c>
      <c r="F11">
        <v>-7.1</v>
      </c>
      <c r="G11">
        <v>-6.3037099999999997</v>
      </c>
      <c r="H11">
        <v>-1.171343</v>
      </c>
      <c r="I11">
        <v>-0.86499999999999999</v>
      </c>
      <c r="J11">
        <v>-2.33</v>
      </c>
      <c r="K11">
        <v>-2.5</v>
      </c>
      <c r="L11" t="e">
        <v>#N/A</v>
      </c>
      <c r="M11">
        <v>-4.4679570000000002</v>
      </c>
      <c r="N11">
        <v>0.35</v>
      </c>
      <c r="O11">
        <v>-0.4</v>
      </c>
      <c r="P11">
        <v>-3.4418920000000002</v>
      </c>
    </row>
    <row r="12" spans="1:16">
      <c r="A12" s="25">
        <v>45657</v>
      </c>
      <c r="B12">
        <v>-5.8</v>
      </c>
      <c r="C12">
        <v>-2.2549999999999999</v>
      </c>
      <c r="D12">
        <v>-5.239878</v>
      </c>
      <c r="E12">
        <v>-3.2</v>
      </c>
      <c r="F12">
        <v>-3.4</v>
      </c>
      <c r="G12">
        <v>-6.92225</v>
      </c>
      <c r="H12">
        <v>-1.9476629999999999</v>
      </c>
      <c r="I12">
        <v>-1.466</v>
      </c>
      <c r="J12">
        <v>-3.9569999999999999</v>
      </c>
      <c r="K12">
        <v>-2.7</v>
      </c>
      <c r="L12">
        <v>-4.3151260000000002</v>
      </c>
      <c r="M12">
        <v>-4.8085440000000004</v>
      </c>
      <c r="N12">
        <v>0.54800000000000004</v>
      </c>
      <c r="O12">
        <v>-0.7</v>
      </c>
      <c r="P12">
        <v>-3.1235119999999998</v>
      </c>
    </row>
    <row r="13" spans="1:16">
      <c r="A13" s="25">
        <v>46022</v>
      </c>
      <c r="B13">
        <v>-5.0999999999999996</v>
      </c>
      <c r="C13" t="e">
        <v>#N/A</v>
      </c>
      <c r="D13">
        <v>-4.9571949999999996</v>
      </c>
      <c r="E13">
        <v>-2.4</v>
      </c>
      <c r="F13">
        <v>-3.1</v>
      </c>
      <c r="G13">
        <v>-5.3603399999999999</v>
      </c>
      <c r="H13">
        <v>-1.1086549999999999</v>
      </c>
      <c r="I13">
        <v>-3.1440269999999999</v>
      </c>
      <c r="J13">
        <v>-2.6621039999999998</v>
      </c>
      <c r="K13">
        <v>-2.7</v>
      </c>
      <c r="L13">
        <v>-2.391972</v>
      </c>
      <c r="M13">
        <v>-5.0895970000000004</v>
      </c>
      <c r="N13">
        <v>0.505884</v>
      </c>
      <c r="O13">
        <v>-1.6</v>
      </c>
      <c r="P13">
        <v>-3.0887069999999999</v>
      </c>
    </row>
    <row r="14" spans="1:16">
      <c r="A14" s="25">
        <v>46171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>
        <v>-2.7535630000000002</v>
      </c>
      <c r="M14" t="e">
        <v>#N/A</v>
      </c>
      <c r="N14" t="e">
        <v>#N/A</v>
      </c>
      <c r="O14" t="e">
        <v>#N/A</v>
      </c>
      <c r="P14" t="e">
        <v>#N/A</v>
      </c>
    </row>
  </sheetData>
  <phoneticPr fontId="9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4"/>
  <sheetViews>
    <sheetView tabSelected="1" workbookViewId="0">
      <pane xSplit="1" ySplit="5" topLeftCell="B120" activePane="bottomRight" state="frozen"/>
      <selection pane="topRight"/>
      <selection pane="bottomLeft"/>
      <selection pane="bottomRight" activeCell="F6" sqref="F6"/>
    </sheetView>
  </sheetViews>
  <sheetFormatPr defaultRowHeight="15"/>
  <cols>
    <col min="1" max="1" width="13" customWidth="1"/>
    <col min="2" max="2" width="15.85546875" bestFit="1" customWidth="1"/>
    <col min="3" max="3" width="13" customWidth="1"/>
    <col min="4" max="4" width="12.85546875" bestFit="1" customWidth="1"/>
    <col min="5" max="5" width="13.7109375" bestFit="1" customWidth="1"/>
    <col min="6" max="6" width="15.7109375" bestFit="1" customWidth="1"/>
    <col min="7" max="7" width="15.5703125" bestFit="1" customWidth="1"/>
    <col min="8" max="8" width="15.7109375" bestFit="1" customWidth="1"/>
    <col min="9" max="9" width="15.42578125" bestFit="1" customWidth="1"/>
    <col min="10" max="10" width="14.42578125" bestFit="1" customWidth="1"/>
    <col min="11" max="11" width="13.140625" bestFit="1" customWidth="1"/>
    <col min="12" max="12" width="13.5703125" bestFit="1" customWidth="1"/>
  </cols>
  <sheetData>
    <row r="1" spans="1:12" ht="18">
      <c r="A1" s="1" t="s">
        <v>148</v>
      </c>
    </row>
    <row r="2" spans="1:12">
      <c r="A2" s="2" t="s">
        <v>149</v>
      </c>
    </row>
    <row r="3" spans="1:12">
      <c r="B3" s="6" t="s">
        <v>50</v>
      </c>
      <c r="C3" s="6" t="s">
        <v>39</v>
      </c>
      <c r="D3" s="6" t="s">
        <v>42</v>
      </c>
      <c r="E3" s="6" t="s">
        <v>44</v>
      </c>
      <c r="G3" s="6" t="s">
        <v>46</v>
      </c>
      <c r="H3" s="6" t="s">
        <v>48</v>
      </c>
      <c r="I3" s="6" t="s">
        <v>52</v>
      </c>
      <c r="J3" s="6" t="s">
        <v>54</v>
      </c>
      <c r="K3" s="6" t="s">
        <v>56</v>
      </c>
      <c r="L3" s="6" t="s">
        <v>58</v>
      </c>
    </row>
    <row r="4" spans="1:12">
      <c r="A4" s="7" t="s">
        <v>110</v>
      </c>
      <c r="B4" s="8" t="s">
        <v>49</v>
      </c>
      <c r="C4" s="8" t="s">
        <v>38</v>
      </c>
      <c r="D4" s="8" t="s">
        <v>41</v>
      </c>
      <c r="E4" s="8" t="s">
        <v>43</v>
      </c>
      <c r="F4" s="7" t="s">
        <v>110</v>
      </c>
      <c r="G4" s="8" t="s">
        <v>45</v>
      </c>
      <c r="H4" s="8" t="s">
        <v>47</v>
      </c>
      <c r="I4" s="8" t="s">
        <v>51</v>
      </c>
      <c r="J4" s="8" t="s">
        <v>53</v>
      </c>
      <c r="K4" s="8" t="s">
        <v>55</v>
      </c>
      <c r="L4" s="8" t="s">
        <v>57</v>
      </c>
    </row>
    <row r="5" spans="1:12">
      <c r="A5" s="9" t="s">
        <v>111</v>
      </c>
      <c r="B5" s="10" t="s">
        <v>150</v>
      </c>
      <c r="C5" s="10" t="s">
        <v>151</v>
      </c>
      <c r="D5" s="10" t="s">
        <v>152</v>
      </c>
      <c r="E5" s="10" t="s">
        <v>153</v>
      </c>
      <c r="F5" s="9" t="s">
        <v>111</v>
      </c>
      <c r="G5" s="10" t="s">
        <v>154</v>
      </c>
      <c r="H5" s="10" t="s">
        <v>155</v>
      </c>
      <c r="I5" s="10" t="s">
        <v>156</v>
      </c>
      <c r="J5" s="10" t="s">
        <v>157</v>
      </c>
      <c r="K5" s="10" t="s">
        <v>158</v>
      </c>
      <c r="L5" s="10" t="s">
        <v>159</v>
      </c>
    </row>
    <row r="6" spans="1:12">
      <c r="A6" s="24">
        <f>_xll.BQL($B$5:$E$5, "dropna(px_last(dates=range(-180D, 10D), per=D))", "showids", "false", "showheaders", "false", "showallcols", "false","cols=5;rows=129")</f>
        <v>45981</v>
      </c>
      <c r="B6" s="14">
        <v>4.0844678879999998</v>
      </c>
      <c r="C6" s="14">
        <v>3.488610268</v>
      </c>
      <c r="D6" s="14">
        <v>1.8239989999999999</v>
      </c>
      <c r="E6" s="14">
        <v>4.5857954029999997</v>
      </c>
      <c r="F6" s="22">
        <f>_xll.BQL($G$5:$L$5, "dropna(px_last(dates=range(-180D, 10D), per=D))", "showids", "false", "showheaders", "false", "showallcols", "false","cols=7;rows=129")</f>
        <v>45981</v>
      </c>
      <c r="G6" s="14">
        <v>3.224815</v>
      </c>
      <c r="H6" s="14">
        <v>3.4731429999999999</v>
      </c>
      <c r="I6" s="14">
        <v>3.2233190540000001</v>
      </c>
      <c r="J6" s="14">
        <v>3.3320000169999999</v>
      </c>
      <c r="K6" s="14">
        <v>4.4667496680000003</v>
      </c>
      <c r="L6">
        <v>2.715991974</v>
      </c>
    </row>
    <row r="7" spans="1:12">
      <c r="A7" s="23">
        <v>45982</v>
      </c>
      <c r="B7" s="14">
        <v>4.0632724759999999</v>
      </c>
      <c r="C7" s="14">
        <v>3.4728164669999999</v>
      </c>
      <c r="D7" s="14">
        <v>1.778</v>
      </c>
      <c r="E7" s="14">
        <v>4.5456428530000004</v>
      </c>
      <c r="F7" s="22">
        <v>45982</v>
      </c>
      <c r="G7" s="14">
        <v>3.2089460000000001</v>
      </c>
      <c r="H7" s="14">
        <v>3.459079</v>
      </c>
      <c r="I7" s="14">
        <v>3.1952657699999998</v>
      </c>
      <c r="J7" s="14">
        <v>3.2750000950000002</v>
      </c>
      <c r="K7" s="14">
        <v>4.4618000980000003</v>
      </c>
      <c r="L7">
        <v>2.7030658719999998</v>
      </c>
    </row>
    <row r="8" spans="1:12">
      <c r="A8" s="24">
        <v>45985</v>
      </c>
      <c r="B8" s="14">
        <v>4.0248041150000002</v>
      </c>
      <c r="C8" s="14">
        <v>3.4472227100000001</v>
      </c>
      <c r="D8" s="14">
        <v>1.778</v>
      </c>
      <c r="E8" s="14">
        <v>4.5372390749999996</v>
      </c>
      <c r="F8" s="22">
        <v>45985</v>
      </c>
      <c r="G8" s="14">
        <v>3.194645</v>
      </c>
      <c r="H8" s="14">
        <v>3.4400270000000002</v>
      </c>
      <c r="I8" s="14">
        <v>3.1698789600000001</v>
      </c>
      <c r="J8" s="14">
        <v>3.289999962</v>
      </c>
      <c r="K8" s="14">
        <v>4.443199635</v>
      </c>
      <c r="L8">
        <v>2.6919384000000002</v>
      </c>
    </row>
    <row r="9" spans="1:12">
      <c r="A9" s="23">
        <v>45986</v>
      </c>
      <c r="B9" s="14">
        <v>3.9960308069999999</v>
      </c>
      <c r="C9" s="14">
        <v>3.406538963</v>
      </c>
      <c r="D9" s="14">
        <v>1.804999</v>
      </c>
      <c r="E9" s="14">
        <v>4.4941501620000004</v>
      </c>
      <c r="F9" s="22">
        <v>45986</v>
      </c>
      <c r="G9" s="14">
        <v>3.1633100000000001</v>
      </c>
      <c r="H9" s="14">
        <v>3.400007</v>
      </c>
      <c r="I9" s="14">
        <v>3.147850037</v>
      </c>
      <c r="J9" s="14">
        <v>3.2650001049999999</v>
      </c>
      <c r="K9" s="14">
        <v>4.4280996320000003</v>
      </c>
      <c r="L9">
        <v>2.6722593309999998</v>
      </c>
    </row>
    <row r="10" spans="1:12">
      <c r="A10" s="24">
        <v>45987</v>
      </c>
      <c r="B10" s="14">
        <v>3.9940900799999999</v>
      </c>
      <c r="C10" s="14">
        <v>3.3967418669999998</v>
      </c>
      <c r="D10" s="14">
        <v>1.8089999999999999</v>
      </c>
      <c r="E10" s="14">
        <v>4.4234752659999996</v>
      </c>
      <c r="F10" s="22">
        <v>45987</v>
      </c>
      <c r="G10" s="14">
        <v>3.1528100000000001</v>
      </c>
      <c r="H10" s="14">
        <v>3.3909090000000002</v>
      </c>
      <c r="I10" s="14">
        <v>3.139497757</v>
      </c>
      <c r="J10" s="14">
        <v>3.25</v>
      </c>
      <c r="K10" s="14">
        <v>4.5289998049999998</v>
      </c>
      <c r="L10">
        <v>2.671127319</v>
      </c>
    </row>
    <row r="11" spans="1:12">
      <c r="A11" s="23">
        <v>45988</v>
      </c>
      <c r="B11" s="14">
        <v>3.9940900799999999</v>
      </c>
      <c r="C11" s="14">
        <v>3.4097061160000002</v>
      </c>
      <c r="D11" s="14">
        <v>1.8009999999999999</v>
      </c>
      <c r="E11" s="14">
        <v>4.4498357769999997</v>
      </c>
      <c r="F11" s="22">
        <v>45988</v>
      </c>
      <c r="G11" s="14">
        <v>3.1659540000000002</v>
      </c>
      <c r="H11" s="14">
        <v>3.402234</v>
      </c>
      <c r="I11" s="14">
        <v>3.124065399</v>
      </c>
      <c r="J11" s="14">
        <v>3.3550000190000002</v>
      </c>
      <c r="K11" s="14">
        <v>4.4944496149999997</v>
      </c>
      <c r="L11">
        <v>2.6796560290000002</v>
      </c>
    </row>
    <row r="12" spans="1:12">
      <c r="A12" s="24">
        <v>45989</v>
      </c>
      <c r="B12" s="14">
        <v>4.0132389069999999</v>
      </c>
      <c r="C12" s="14">
        <v>3.408784866</v>
      </c>
      <c r="D12" s="14">
        <v>1.8119989999999999</v>
      </c>
      <c r="E12" s="14">
        <v>4.4404563899999996</v>
      </c>
      <c r="F12" s="22">
        <v>45989</v>
      </c>
      <c r="G12" s="14">
        <v>3.163783</v>
      </c>
      <c r="H12" s="14">
        <v>3.399216</v>
      </c>
      <c r="I12" s="14">
        <v>3.1480169299999998</v>
      </c>
      <c r="J12" s="14">
        <v>3.3450000289999999</v>
      </c>
      <c r="K12" s="14">
        <v>4.5148997309999999</v>
      </c>
      <c r="L12">
        <v>2.688546181</v>
      </c>
    </row>
    <row r="13" spans="1:12">
      <c r="A13" s="23">
        <v>45992</v>
      </c>
      <c r="B13" s="14">
        <v>4.086480141</v>
      </c>
      <c r="C13" s="14">
        <v>3.4848585129999998</v>
      </c>
      <c r="D13" s="14">
        <v>1.8729990000000001</v>
      </c>
      <c r="E13" s="14">
        <v>4.4812431339999996</v>
      </c>
      <c r="F13" s="22">
        <v>45992</v>
      </c>
      <c r="G13" s="14">
        <v>3.2273869999999998</v>
      </c>
      <c r="H13" s="14">
        <v>3.4694020000000001</v>
      </c>
      <c r="I13" s="14">
        <v>3.2480564119999999</v>
      </c>
      <c r="J13" s="14">
        <v>3.3900001049999999</v>
      </c>
      <c r="K13" s="14">
        <v>4.5543999670000002</v>
      </c>
      <c r="L13">
        <v>2.75063324</v>
      </c>
    </row>
    <row r="14" spans="1:12">
      <c r="A14" s="24">
        <v>45993</v>
      </c>
      <c r="B14" s="14">
        <v>4.0864887239999996</v>
      </c>
      <c r="C14" s="14">
        <v>3.4902505869999998</v>
      </c>
      <c r="D14" s="14">
        <v>1.8680000000000001</v>
      </c>
      <c r="E14" s="14">
        <v>4.469069481</v>
      </c>
      <c r="F14" s="22">
        <v>45993</v>
      </c>
      <c r="G14" s="14">
        <v>3.2238039999999999</v>
      </c>
      <c r="H14" s="14">
        <v>3.4645600000000001</v>
      </c>
      <c r="I14" s="14">
        <v>3.244010925</v>
      </c>
      <c r="J14" s="14">
        <v>3.3450000289999999</v>
      </c>
      <c r="K14" s="14">
        <v>4.6127495769999998</v>
      </c>
      <c r="L14">
        <v>2.7489776610000001</v>
      </c>
    </row>
    <row r="15" spans="1:12">
      <c r="A15" s="23">
        <v>45994</v>
      </c>
      <c r="B15" s="14">
        <v>4.0633001330000003</v>
      </c>
      <c r="C15" s="14">
        <v>3.4912405010000001</v>
      </c>
      <c r="D15" s="14">
        <v>1.8939999999999999</v>
      </c>
      <c r="E15" s="14">
        <v>4.4473543170000003</v>
      </c>
      <c r="F15" s="22">
        <v>45994</v>
      </c>
      <c r="G15" s="14">
        <v>3.2192919999999998</v>
      </c>
      <c r="H15" s="14">
        <v>3.445309</v>
      </c>
      <c r="I15" s="14">
        <v>3.221731186</v>
      </c>
      <c r="J15" s="14">
        <v>3.3650000100000002</v>
      </c>
      <c r="K15" s="14">
        <v>4.6437497140000001</v>
      </c>
      <c r="L15">
        <v>2.7470598220000002</v>
      </c>
    </row>
    <row r="16" spans="1:12">
      <c r="A16" s="24">
        <v>45995</v>
      </c>
      <c r="B16" s="14">
        <v>4.098126411</v>
      </c>
      <c r="C16" s="14">
        <v>3.5235958100000002</v>
      </c>
      <c r="D16" s="14">
        <v>1.9410000000000001</v>
      </c>
      <c r="E16" s="14">
        <v>4.4346275329999996</v>
      </c>
      <c r="F16" s="22">
        <v>45995</v>
      </c>
      <c r="G16" s="14">
        <v>3.2461419999999999</v>
      </c>
      <c r="H16" s="14">
        <v>3.4681709999999999</v>
      </c>
      <c r="I16" s="14">
        <v>3.255654335</v>
      </c>
      <c r="J16" s="14">
        <v>3.375</v>
      </c>
      <c r="K16" s="14">
        <v>4.7022500039999997</v>
      </c>
      <c r="L16">
        <v>2.770809174</v>
      </c>
    </row>
    <row r="17" spans="1:12">
      <c r="A17" s="23">
        <v>45996</v>
      </c>
      <c r="B17" s="14">
        <v>4.1350708010000004</v>
      </c>
      <c r="C17" s="14">
        <v>3.5234479900000002</v>
      </c>
      <c r="D17" s="14">
        <v>1.9470000000000001</v>
      </c>
      <c r="E17" s="14">
        <v>4.476224899</v>
      </c>
      <c r="F17" s="22">
        <v>45996</v>
      </c>
      <c r="G17" s="14">
        <v>3.2610649999999999</v>
      </c>
      <c r="H17" s="14">
        <v>3.485163</v>
      </c>
      <c r="I17" s="14">
        <v>3.4151554110000002</v>
      </c>
      <c r="J17" s="14">
        <v>3.3519999980000001</v>
      </c>
      <c r="K17" s="14">
        <v>4.6843996050000003</v>
      </c>
      <c r="L17">
        <v>2.798418045</v>
      </c>
    </row>
    <row r="18" spans="1:12">
      <c r="A18" s="24">
        <v>45999</v>
      </c>
      <c r="B18" s="14">
        <v>4.1643285749999999</v>
      </c>
      <c r="C18" s="14">
        <v>3.58286953</v>
      </c>
      <c r="D18" s="14">
        <v>1.976</v>
      </c>
      <c r="E18" s="14">
        <v>4.5278778080000004</v>
      </c>
      <c r="F18" s="22">
        <v>45999</v>
      </c>
      <c r="G18" s="14">
        <v>3.333523</v>
      </c>
      <c r="H18" s="14">
        <v>3.5617749999999999</v>
      </c>
      <c r="I18" s="14">
        <v>3.4233636860000001</v>
      </c>
      <c r="J18" s="14">
        <v>3.4030001159999999</v>
      </c>
      <c r="K18" s="14">
        <v>4.7046999930000002</v>
      </c>
      <c r="L18">
        <v>2.8615646360000002</v>
      </c>
    </row>
    <row r="19" spans="1:12">
      <c r="A19" s="23">
        <v>46000</v>
      </c>
      <c r="B19" s="14">
        <v>4.1878099439999996</v>
      </c>
      <c r="C19" s="14">
        <v>3.5556688310000002</v>
      </c>
      <c r="D19" s="14">
        <v>1.9649989999999999</v>
      </c>
      <c r="E19" s="14">
        <v>4.5048007969999997</v>
      </c>
      <c r="F19" s="22">
        <v>46000</v>
      </c>
      <c r="G19" s="14">
        <v>3.3107760000000002</v>
      </c>
      <c r="H19" s="14">
        <v>3.545115</v>
      </c>
      <c r="I19" s="14">
        <v>3.4638032910000001</v>
      </c>
      <c r="J19" s="14">
        <v>3.4530000689999998</v>
      </c>
      <c r="K19" s="14">
        <v>4.7592496869999996</v>
      </c>
      <c r="L19">
        <v>2.8497228620000001</v>
      </c>
    </row>
    <row r="20" spans="1:12">
      <c r="A20" s="24">
        <v>46001</v>
      </c>
      <c r="B20" s="14">
        <v>4.146821976</v>
      </c>
      <c r="C20" s="14">
        <v>3.5679483410000001</v>
      </c>
      <c r="D20" s="14">
        <v>1.957999</v>
      </c>
      <c r="E20" s="14">
        <v>4.5056810379999996</v>
      </c>
      <c r="F20" s="22">
        <v>46001</v>
      </c>
      <c r="G20" s="14">
        <v>3.3121839999999998</v>
      </c>
      <c r="H20" s="14">
        <v>3.5473560000000002</v>
      </c>
      <c r="I20" s="14">
        <v>3.4201755519999999</v>
      </c>
      <c r="J20" s="14">
        <v>3.369999886</v>
      </c>
      <c r="K20" s="14">
        <v>4.8099493979999997</v>
      </c>
      <c r="L20">
        <v>2.8506355289999998</v>
      </c>
    </row>
    <row r="21" spans="1:12">
      <c r="A21" s="23">
        <v>46002</v>
      </c>
      <c r="B21" s="14">
        <v>4.1565999979999999</v>
      </c>
      <c r="C21" s="14">
        <v>3.5549192430000001</v>
      </c>
      <c r="D21" s="14">
        <v>1.929999</v>
      </c>
      <c r="E21" s="14">
        <v>4.4835071559999999</v>
      </c>
      <c r="F21" s="22">
        <v>46002</v>
      </c>
      <c r="G21" s="14">
        <v>3.290308</v>
      </c>
      <c r="H21" s="14">
        <v>3.5268229999999998</v>
      </c>
      <c r="I21" s="14">
        <v>3.4278392790000001</v>
      </c>
      <c r="J21" s="14">
        <v>3.3659999370000002</v>
      </c>
      <c r="K21" s="14">
        <v>4.7207493779999998</v>
      </c>
      <c r="L21">
        <v>2.8432941440000001</v>
      </c>
    </row>
    <row r="22" spans="1:12">
      <c r="A22" s="24">
        <v>46003</v>
      </c>
      <c r="B22" s="14">
        <v>4.1840562820000002</v>
      </c>
      <c r="C22" s="14">
        <v>3.5773601529999999</v>
      </c>
      <c r="D22" s="14">
        <v>1.954</v>
      </c>
      <c r="E22" s="14">
        <v>4.5165567400000004</v>
      </c>
      <c r="F22" s="22">
        <v>46003</v>
      </c>
      <c r="G22" s="14">
        <v>3.3064100000000001</v>
      </c>
      <c r="H22" s="14">
        <v>3.5483699999999998</v>
      </c>
      <c r="I22" s="14">
        <v>3.441403389</v>
      </c>
      <c r="J22" s="14">
        <v>3.4110000130000002</v>
      </c>
      <c r="K22" s="14">
        <v>4.7275495530000002</v>
      </c>
      <c r="L22">
        <v>2.857307434</v>
      </c>
    </row>
    <row r="23" spans="1:12">
      <c r="A23" s="23">
        <v>46006</v>
      </c>
      <c r="B23" s="14">
        <v>4.1723432540000003</v>
      </c>
      <c r="C23" s="14">
        <v>3.5653238300000001</v>
      </c>
      <c r="D23" s="14">
        <v>1.9590000000000001</v>
      </c>
      <c r="E23" s="14">
        <v>4.4955902099999996</v>
      </c>
      <c r="F23" s="22">
        <v>46006</v>
      </c>
      <c r="G23" s="14">
        <v>3.3007849999999999</v>
      </c>
      <c r="H23" s="14">
        <v>3.532705</v>
      </c>
      <c r="I23" s="14">
        <v>3.412820816</v>
      </c>
      <c r="J23" s="14">
        <v>3.3340001109999999</v>
      </c>
      <c r="K23" s="14">
        <v>4.7263498310000003</v>
      </c>
      <c r="L23">
        <v>2.8528957369999999</v>
      </c>
    </row>
    <row r="24" spans="1:12">
      <c r="A24" s="24">
        <v>46007</v>
      </c>
      <c r="B24" s="14">
        <v>4.1450128560000001</v>
      </c>
      <c r="C24" s="14">
        <v>3.5483589169999998</v>
      </c>
      <c r="D24" s="14">
        <v>1.9590000000000001</v>
      </c>
      <c r="E24" s="14">
        <v>4.5182495119999997</v>
      </c>
      <c r="F24" s="22">
        <v>46007</v>
      </c>
      <c r="G24" s="14">
        <v>3.281101</v>
      </c>
      <c r="H24" s="14">
        <v>3.5431330000000001</v>
      </c>
      <c r="I24" s="14">
        <v>3.3965044020000001</v>
      </c>
      <c r="J24" s="14">
        <v>3.3150000570000002</v>
      </c>
      <c r="K24" s="14">
        <v>4.7270498280000002</v>
      </c>
      <c r="L24">
        <v>2.8448095320000002</v>
      </c>
    </row>
    <row r="25" spans="1:12">
      <c r="A25" s="23">
        <v>46008</v>
      </c>
      <c r="B25" s="14">
        <v>4.1528482440000003</v>
      </c>
      <c r="C25" s="14">
        <v>3.5741147990000002</v>
      </c>
      <c r="D25" s="14">
        <v>1.976</v>
      </c>
      <c r="E25" s="14">
        <v>4.4749660489999998</v>
      </c>
      <c r="F25" s="22">
        <v>46008</v>
      </c>
      <c r="G25" s="14">
        <v>3.2993700000000001</v>
      </c>
      <c r="H25" s="14">
        <v>3.5688360000000001</v>
      </c>
      <c r="I25" s="14">
        <v>3.4270181659999999</v>
      </c>
      <c r="J25" s="14">
        <v>3.3220000270000001</v>
      </c>
      <c r="K25" s="14">
        <v>4.7467498780000001</v>
      </c>
      <c r="L25">
        <v>2.8640584950000001</v>
      </c>
    </row>
    <row r="26" spans="1:12">
      <c r="A26" s="24">
        <v>46009</v>
      </c>
      <c r="B26" s="14">
        <v>4.1216554639999998</v>
      </c>
      <c r="C26" s="14">
        <v>3.5582427980000002</v>
      </c>
      <c r="D26" s="14">
        <v>1.9710000000000001</v>
      </c>
      <c r="E26" s="14">
        <v>4.4807615280000004</v>
      </c>
      <c r="F26" s="22">
        <v>46009</v>
      </c>
      <c r="G26" s="14">
        <v>3.2800569999999998</v>
      </c>
      <c r="H26" s="14">
        <v>3.5392929999999998</v>
      </c>
      <c r="I26" s="14">
        <v>3.4052591319999999</v>
      </c>
      <c r="J26" s="14">
        <v>3.3099999429999998</v>
      </c>
      <c r="K26" s="14">
        <v>4.7423496250000001</v>
      </c>
      <c r="L26">
        <v>2.8497314450000002</v>
      </c>
    </row>
    <row r="27" spans="1:12">
      <c r="A27" s="23">
        <v>46010</v>
      </c>
      <c r="B27" s="14">
        <v>4.1470880509999999</v>
      </c>
      <c r="C27" s="14">
        <v>3.612660408</v>
      </c>
      <c r="D27" s="14">
        <v>2.0239989999999999</v>
      </c>
      <c r="E27" s="14">
        <v>4.5239686969999999</v>
      </c>
      <c r="F27" s="22">
        <v>46010</v>
      </c>
      <c r="G27" s="14">
        <v>3.3265349999999998</v>
      </c>
      <c r="H27" s="14">
        <v>3.5853060000000001</v>
      </c>
      <c r="I27" s="14">
        <v>3.469054222</v>
      </c>
      <c r="J27" s="14">
        <v>3.3550000190000002</v>
      </c>
      <c r="K27" s="14">
        <v>4.7480497359999996</v>
      </c>
      <c r="L27">
        <v>2.895323753</v>
      </c>
    </row>
    <row r="28" spans="1:12">
      <c r="A28" s="24">
        <v>46013</v>
      </c>
      <c r="B28" s="14">
        <v>4.1627635959999996</v>
      </c>
      <c r="C28" s="14">
        <v>3.6126737590000002</v>
      </c>
      <c r="D28" s="14">
        <v>2.085</v>
      </c>
      <c r="E28" s="14">
        <v>4.5359745030000003</v>
      </c>
      <c r="F28" s="22">
        <v>46013</v>
      </c>
      <c r="G28" s="14">
        <v>3.3330820000000001</v>
      </c>
      <c r="H28" s="14">
        <v>3.5988349999999998</v>
      </c>
      <c r="I28" s="14">
        <v>3.4627513890000001</v>
      </c>
      <c r="J28" s="14">
        <v>3.3650000100000002</v>
      </c>
      <c r="K28" s="14">
        <v>4.7935996059999999</v>
      </c>
      <c r="L28">
        <v>2.8972415919999999</v>
      </c>
    </row>
    <row r="29" spans="1:12">
      <c r="A29" s="23">
        <v>46014</v>
      </c>
      <c r="B29" s="14">
        <v>4.1627922059999998</v>
      </c>
      <c r="C29" s="14">
        <v>3.5620260240000001</v>
      </c>
      <c r="D29" s="14">
        <v>2.0339990000000001</v>
      </c>
      <c r="E29" s="14">
        <v>4.5092916489999997</v>
      </c>
      <c r="F29" s="22">
        <v>46014</v>
      </c>
      <c r="G29" s="14">
        <v>3.2889789999999999</v>
      </c>
      <c r="H29" s="14">
        <v>3.553458</v>
      </c>
      <c r="I29" s="14">
        <v>3.4178819659999999</v>
      </c>
      <c r="J29" s="14">
        <v>3.3770000929999999</v>
      </c>
      <c r="K29" s="14">
        <v>4.7536997799999998</v>
      </c>
      <c r="L29">
        <v>2.8615226749999998</v>
      </c>
    </row>
    <row r="30" spans="1:12">
      <c r="A30" s="24">
        <v>46015</v>
      </c>
      <c r="B30" s="14">
        <v>4.1335067749999999</v>
      </c>
      <c r="C30" s="14">
        <v>3.5619773860000001</v>
      </c>
      <c r="D30" s="14">
        <v>2.0489999999999999</v>
      </c>
      <c r="E30" s="14">
        <v>4.5069217679999998</v>
      </c>
      <c r="F30" s="22">
        <v>46015</v>
      </c>
      <c r="G30" s="14">
        <v>3.2890290000000002</v>
      </c>
      <c r="H30" s="14">
        <v>3.5534309999999998</v>
      </c>
      <c r="I30" s="14">
        <v>3.3991041179999999</v>
      </c>
      <c r="J30" s="14">
        <v>3.3469998840000001</v>
      </c>
      <c r="K30" s="14">
        <v>4.7400498390000001</v>
      </c>
      <c r="L30">
        <v>2.8616285320000001</v>
      </c>
    </row>
    <row r="31" spans="1:12">
      <c r="A31" s="23">
        <v>46016</v>
      </c>
      <c r="B31" s="14">
        <v>4.1335067749999999</v>
      </c>
      <c r="C31" s="14">
        <v>3.5619773860000001</v>
      </c>
      <c r="D31" s="14">
        <v>2.0499990000000001</v>
      </c>
      <c r="E31" s="14">
        <v>4.5068559649999997</v>
      </c>
      <c r="F31" s="22">
        <v>46016</v>
      </c>
      <c r="G31" s="14">
        <v>3.2890290000000002</v>
      </c>
      <c r="H31" s="14">
        <v>3.5534309999999998</v>
      </c>
      <c r="I31" s="14">
        <v>3.399130821</v>
      </c>
      <c r="J31" s="14" t="e">
        <v>#N/A</v>
      </c>
      <c r="K31" s="14">
        <v>4.7399997709999999</v>
      </c>
      <c r="L31">
        <v>2.8616285320000001</v>
      </c>
    </row>
    <row r="32" spans="1:12">
      <c r="A32" s="24">
        <v>46017</v>
      </c>
      <c r="B32" s="14">
        <v>4.1277122500000001</v>
      </c>
      <c r="C32" s="14" t="e">
        <v>#N/A</v>
      </c>
      <c r="D32" s="14">
        <v>2.0409989999999998</v>
      </c>
      <c r="E32" s="14" t="e">
        <v>#N/A</v>
      </c>
      <c r="F32" s="22">
        <v>46017</v>
      </c>
      <c r="G32" s="14" t="e">
        <v>#N/A</v>
      </c>
      <c r="H32" s="14" t="e">
        <v>#N/A</v>
      </c>
      <c r="I32" s="14" t="e">
        <v>#N/A</v>
      </c>
      <c r="J32" s="14">
        <v>3.380000114</v>
      </c>
      <c r="K32" s="14" t="e">
        <v>#N/A</v>
      </c>
      <c r="L32" t="e">
        <v>#N/A</v>
      </c>
    </row>
    <row r="33" spans="1:12">
      <c r="A33" s="23">
        <v>46020</v>
      </c>
      <c r="B33" s="14">
        <v>4.1101617810000004</v>
      </c>
      <c r="C33" s="14">
        <v>3.5248498920000002</v>
      </c>
      <c r="D33" s="14">
        <v>2.0529989999999998</v>
      </c>
      <c r="E33" s="14">
        <v>4.4864282610000004</v>
      </c>
      <c r="F33" s="22">
        <v>46020</v>
      </c>
      <c r="G33" s="14">
        <v>3.249752</v>
      </c>
      <c r="H33" s="14">
        <v>3.5040589999999998</v>
      </c>
      <c r="I33" s="14">
        <v>3.388090134</v>
      </c>
      <c r="J33" s="14">
        <v>3.3550000190000002</v>
      </c>
      <c r="K33" s="14">
        <v>4.7549996380000001</v>
      </c>
      <c r="L33">
        <v>2.8287448880000001</v>
      </c>
    </row>
    <row r="34" spans="1:12">
      <c r="A34" s="24">
        <v>46021</v>
      </c>
      <c r="B34" s="14">
        <v>4.1218948360000001</v>
      </c>
      <c r="C34" s="14">
        <v>3.5637493130000002</v>
      </c>
      <c r="D34" s="14">
        <v>2.0659999999999998</v>
      </c>
      <c r="E34" s="14">
        <v>4.4981508259999998</v>
      </c>
      <c r="F34" s="22">
        <v>46021</v>
      </c>
      <c r="G34" s="14">
        <v>3.2874240000000001</v>
      </c>
      <c r="H34" s="14">
        <v>3.5506139999999999</v>
      </c>
      <c r="I34" s="14">
        <v>3.4115629200000002</v>
      </c>
      <c r="J34" s="14">
        <v>3.3849999899999998</v>
      </c>
      <c r="K34" s="14">
        <v>4.7455496789999998</v>
      </c>
      <c r="L34">
        <v>2.8545684809999998</v>
      </c>
    </row>
    <row r="35" spans="1:12">
      <c r="A35" s="23">
        <v>46022</v>
      </c>
      <c r="B35" s="14">
        <v>4.1669855120000001</v>
      </c>
      <c r="C35" s="14">
        <v>3.563798904</v>
      </c>
      <c r="D35" s="14">
        <v>2.0659999999999998</v>
      </c>
      <c r="E35" s="14">
        <v>4.4787187580000003</v>
      </c>
      <c r="F35" s="22">
        <v>46022</v>
      </c>
      <c r="G35" s="14">
        <v>3.287512</v>
      </c>
      <c r="H35" s="14">
        <v>3.5507200000000001</v>
      </c>
      <c r="I35" s="14">
        <v>3.4325523379999998</v>
      </c>
      <c r="J35" s="14">
        <v>3.3849999899999998</v>
      </c>
      <c r="K35" s="14">
        <v>4.740749836</v>
      </c>
      <c r="L35">
        <v>2.8547039029999999</v>
      </c>
    </row>
    <row r="36" spans="1:12">
      <c r="A36" s="24">
        <v>46023</v>
      </c>
      <c r="B36" s="14">
        <v>4.1669855120000001</v>
      </c>
      <c r="C36" s="14">
        <v>3.563798904</v>
      </c>
      <c r="D36" s="14">
        <v>2.0659999999999998</v>
      </c>
      <c r="E36" s="14">
        <v>4.4787187580000003</v>
      </c>
      <c r="F36" s="22">
        <v>46023</v>
      </c>
      <c r="G36" s="14">
        <v>3.287512</v>
      </c>
      <c r="H36" s="14">
        <v>3.5507200000000001</v>
      </c>
      <c r="I36" s="14">
        <v>3.4325714110000001</v>
      </c>
      <c r="J36" s="14" t="e">
        <v>#N/A</v>
      </c>
      <c r="K36" s="14">
        <v>4.740749836</v>
      </c>
      <c r="L36">
        <v>2.8547039029999999</v>
      </c>
    </row>
    <row r="37" spans="1:12">
      <c r="A37" s="23">
        <v>46024</v>
      </c>
      <c r="B37" s="14">
        <v>4.190676689</v>
      </c>
      <c r="C37" s="14">
        <v>3.6112031939999998</v>
      </c>
      <c r="D37" s="14">
        <v>2.0659999999999998</v>
      </c>
      <c r="E37" s="14">
        <v>4.536500931</v>
      </c>
      <c r="F37" s="22">
        <v>46024</v>
      </c>
      <c r="G37" s="14">
        <v>3.338778</v>
      </c>
      <c r="H37" s="14">
        <v>3.6130939999999998</v>
      </c>
      <c r="I37" s="14">
        <v>3.4703540799999999</v>
      </c>
      <c r="J37" s="14">
        <v>3.3849999899999998</v>
      </c>
      <c r="K37" s="14">
        <v>4.8371996880000001</v>
      </c>
      <c r="L37">
        <v>2.9001235959999998</v>
      </c>
    </row>
    <row r="38" spans="1:12">
      <c r="A38" s="24">
        <v>46027</v>
      </c>
      <c r="B38" s="14">
        <v>4.1612205510000004</v>
      </c>
      <c r="C38" s="14">
        <v>3.5725746150000002</v>
      </c>
      <c r="D38" s="14">
        <v>2.125</v>
      </c>
      <c r="E38" s="14">
        <v>4.5060358049999998</v>
      </c>
      <c r="F38" s="22">
        <v>46027</v>
      </c>
      <c r="G38" s="14">
        <v>3.3004250000000002</v>
      </c>
      <c r="H38" s="14">
        <v>3.5687479999999998</v>
      </c>
      <c r="I38" s="14">
        <v>3.4203252790000001</v>
      </c>
      <c r="J38" s="14">
        <v>3.3949999809999998</v>
      </c>
      <c r="K38" s="14">
        <v>4.7975001339999999</v>
      </c>
      <c r="L38">
        <v>2.8702096940000001</v>
      </c>
    </row>
    <row r="39" spans="1:12">
      <c r="A39" s="23">
        <v>46028</v>
      </c>
      <c r="B39" s="14">
        <v>4.1730413439999996</v>
      </c>
      <c r="C39" s="14">
        <v>3.5537214279999998</v>
      </c>
      <c r="D39" s="14">
        <v>2.1360000000000001</v>
      </c>
      <c r="E39" s="14">
        <v>4.4803886410000002</v>
      </c>
      <c r="F39" s="22">
        <v>46028</v>
      </c>
      <c r="G39" s="14">
        <v>3.2712829999999999</v>
      </c>
      <c r="H39" s="14">
        <v>3.535094</v>
      </c>
      <c r="I39" s="14">
        <v>3.431812286</v>
      </c>
      <c r="J39" s="14">
        <v>3.4000000950000002</v>
      </c>
      <c r="K39" s="14">
        <v>4.7927498819999999</v>
      </c>
      <c r="L39">
        <v>2.8418560030000002</v>
      </c>
    </row>
    <row r="40" spans="1:12">
      <c r="A40" s="24">
        <v>46029</v>
      </c>
      <c r="B40" s="14">
        <v>4.1475400919999998</v>
      </c>
      <c r="C40" s="14">
        <v>3.5222454070000002</v>
      </c>
      <c r="D40" s="14">
        <v>2.1219999999999999</v>
      </c>
      <c r="E40" s="14">
        <v>4.4162597659999996</v>
      </c>
      <c r="F40" s="22">
        <v>46029</v>
      </c>
      <c r="G40" s="14">
        <v>3.2526259999999998</v>
      </c>
      <c r="H40" s="14">
        <v>3.5158070000000001</v>
      </c>
      <c r="I40" s="14">
        <v>3.3959331509999999</v>
      </c>
      <c r="J40" s="14">
        <v>3.3570001129999998</v>
      </c>
      <c r="K40" s="14">
        <v>4.7582998280000002</v>
      </c>
      <c r="L40">
        <v>2.8121824260000001</v>
      </c>
    </row>
    <row r="41" spans="1:12">
      <c r="A41" s="23">
        <v>46030</v>
      </c>
      <c r="B41" s="14">
        <v>4.1672096249999999</v>
      </c>
      <c r="C41" s="14">
        <v>3.5285806659999999</v>
      </c>
      <c r="D41" s="14">
        <v>2.0809989999999998</v>
      </c>
      <c r="E41" s="14">
        <v>4.4044284820000001</v>
      </c>
      <c r="F41" s="22">
        <v>46030</v>
      </c>
      <c r="G41" s="14">
        <v>3.255436</v>
      </c>
      <c r="H41" s="14">
        <v>3.5090729999999999</v>
      </c>
      <c r="I41" s="14">
        <v>3.3997287749999998</v>
      </c>
      <c r="J41" s="14">
        <v>3.3450000289999999</v>
      </c>
      <c r="K41" s="14">
        <v>4.6675996780000002</v>
      </c>
      <c r="L41">
        <v>2.863465309</v>
      </c>
    </row>
    <row r="42" spans="1:12">
      <c r="A42" s="24">
        <v>46031</v>
      </c>
      <c r="B42" s="14">
        <v>4.1653413769999998</v>
      </c>
      <c r="C42" s="14">
        <v>3.522910118</v>
      </c>
      <c r="D42" s="14">
        <v>2.0969989999999998</v>
      </c>
      <c r="E42" s="14">
        <v>4.3742132189999996</v>
      </c>
      <c r="F42" s="22">
        <v>46031</v>
      </c>
      <c r="G42" s="14">
        <v>3.249625</v>
      </c>
      <c r="H42" s="14">
        <v>3.4955250000000002</v>
      </c>
      <c r="I42" s="14">
        <v>3.3842763900000001</v>
      </c>
      <c r="J42" s="14">
        <v>3.3870000839999999</v>
      </c>
      <c r="K42" s="14">
        <v>4.6874499319999998</v>
      </c>
      <c r="L42">
        <v>2.8626976009999998</v>
      </c>
    </row>
    <row r="43" spans="1:12">
      <c r="A43" s="23">
        <v>46034</v>
      </c>
      <c r="B43" s="14">
        <v>4.1752157209999998</v>
      </c>
      <c r="C43" s="14">
        <v>3.505681992</v>
      </c>
      <c r="D43" s="14">
        <v>2.0969989999999998</v>
      </c>
      <c r="E43" s="14">
        <v>4.3730506900000004</v>
      </c>
      <c r="F43" s="22">
        <v>46034</v>
      </c>
      <c r="G43" s="14">
        <v>3.2315770000000001</v>
      </c>
      <c r="H43" s="14">
        <v>3.4683679999999999</v>
      </c>
      <c r="I43" s="14">
        <v>3.3992958070000001</v>
      </c>
      <c r="J43" s="14">
        <v>3.3949999809999998</v>
      </c>
      <c r="K43" s="14">
        <v>4.7025499340000003</v>
      </c>
      <c r="L43">
        <v>2.8405628200000002</v>
      </c>
    </row>
    <row r="44" spans="1:12">
      <c r="A44" s="24">
        <v>46035</v>
      </c>
      <c r="B44" s="14">
        <v>4.1791915890000002</v>
      </c>
      <c r="C44" s="14">
        <v>3.5214462279999998</v>
      </c>
      <c r="D44" s="14">
        <v>2.1729989999999999</v>
      </c>
      <c r="E44" s="14">
        <v>4.3984127040000001</v>
      </c>
      <c r="F44" s="22">
        <v>46035</v>
      </c>
      <c r="G44" s="14">
        <v>3.2418100000000001</v>
      </c>
      <c r="H44" s="14">
        <v>3.478863</v>
      </c>
      <c r="I44" s="14">
        <v>3.4080057140000002</v>
      </c>
      <c r="J44" s="14">
        <v>3.4170000549999999</v>
      </c>
      <c r="K44" s="14">
        <v>4.7077999110000004</v>
      </c>
      <c r="L44">
        <v>2.8470993039999999</v>
      </c>
    </row>
    <row r="45" spans="1:12">
      <c r="A45" s="23">
        <v>46036</v>
      </c>
      <c r="B45" s="14">
        <v>4.1320323940000003</v>
      </c>
      <c r="C45" s="14">
        <v>3.490231514</v>
      </c>
      <c r="D45" s="14">
        <v>2.1880000000000002</v>
      </c>
      <c r="E45" s="14">
        <v>4.3398017879999999</v>
      </c>
      <c r="F45" s="22">
        <v>46036</v>
      </c>
      <c r="G45" s="14">
        <v>3.2151480000000001</v>
      </c>
      <c r="H45" s="14">
        <v>3.4500479999999998</v>
      </c>
      <c r="I45" s="14">
        <v>3.3577156069999998</v>
      </c>
      <c r="J45" s="14">
        <v>3.420000076</v>
      </c>
      <c r="K45" s="14">
        <v>4.7166996000000001</v>
      </c>
      <c r="L45">
        <v>2.8142004009999999</v>
      </c>
    </row>
    <row r="46" spans="1:12">
      <c r="A46" s="24">
        <v>46037</v>
      </c>
      <c r="B46" s="14">
        <v>4.1694126130000004</v>
      </c>
      <c r="C46" s="14">
        <v>3.490707397</v>
      </c>
      <c r="D46" s="14">
        <v>2.1629999999999998</v>
      </c>
      <c r="E46" s="14">
        <v>4.3877267839999998</v>
      </c>
      <c r="F46" s="22">
        <v>46037</v>
      </c>
      <c r="G46" s="14">
        <v>3.2109329999999998</v>
      </c>
      <c r="H46" s="14">
        <v>3.4443860000000002</v>
      </c>
      <c r="I46" s="14">
        <v>3.3531980510000001</v>
      </c>
      <c r="J46" s="14">
        <v>3.5</v>
      </c>
      <c r="K46" s="14">
        <v>4.682849407</v>
      </c>
      <c r="L46">
        <v>2.8186769489999999</v>
      </c>
    </row>
    <row r="47" spans="1:12">
      <c r="A47" s="23">
        <v>46038</v>
      </c>
      <c r="B47" s="14">
        <v>4.2229099269999999</v>
      </c>
      <c r="C47" s="14">
        <v>3.5180454249999999</v>
      </c>
      <c r="D47" s="14">
        <v>2.19</v>
      </c>
      <c r="E47" s="14">
        <v>4.4001283649999996</v>
      </c>
      <c r="F47" s="22">
        <v>46038</v>
      </c>
      <c r="G47" s="14">
        <v>3.2200980000000001</v>
      </c>
      <c r="H47" s="14">
        <v>3.4542959999999998</v>
      </c>
      <c r="I47" s="14">
        <v>3.373487473</v>
      </c>
      <c r="J47" s="14">
        <v>3.5</v>
      </c>
      <c r="K47" s="14">
        <v>4.7082500459999999</v>
      </c>
      <c r="L47">
        <v>2.8347911830000001</v>
      </c>
    </row>
    <row r="48" spans="1:12">
      <c r="A48" s="24">
        <v>46041</v>
      </c>
      <c r="B48" s="14">
        <v>4.2229099269999999</v>
      </c>
      <c r="C48" s="14">
        <v>3.4998807909999998</v>
      </c>
      <c r="D48" s="14">
        <v>2.264999</v>
      </c>
      <c r="E48" s="14">
        <v>4.4145946499999997</v>
      </c>
      <c r="F48" s="22">
        <v>46041</v>
      </c>
      <c r="G48" s="14">
        <v>3.2280760000000002</v>
      </c>
      <c r="H48" s="14">
        <v>3.4686979999999998</v>
      </c>
      <c r="I48" s="14">
        <v>3.383020401</v>
      </c>
      <c r="J48" s="14">
        <v>3.5650000570000002</v>
      </c>
      <c r="K48" s="14">
        <v>4.7418494219999996</v>
      </c>
      <c r="L48">
        <v>2.8392791750000002</v>
      </c>
    </row>
    <row r="49" spans="1:12">
      <c r="A49" s="23">
        <v>46042</v>
      </c>
      <c r="B49" s="14">
        <v>4.2925462720000001</v>
      </c>
      <c r="C49" s="14">
        <v>3.5268793110000001</v>
      </c>
      <c r="D49" s="14">
        <v>2.3589989999999998</v>
      </c>
      <c r="E49" s="14">
        <v>4.4578466419999998</v>
      </c>
      <c r="F49" s="22">
        <v>46042</v>
      </c>
      <c r="G49" s="14">
        <v>3.2546930000000001</v>
      </c>
      <c r="H49" s="14">
        <v>3.50298</v>
      </c>
      <c r="I49" s="14">
        <v>3.4245071409999999</v>
      </c>
      <c r="J49" s="14">
        <v>3.6459999079999998</v>
      </c>
      <c r="K49" s="14">
        <v>4.7815999979999999</v>
      </c>
      <c r="L49">
        <v>2.8585052489999998</v>
      </c>
    </row>
    <row r="50" spans="1:12">
      <c r="A50" s="24">
        <v>46043</v>
      </c>
      <c r="B50" s="14">
        <v>4.2428455349999998</v>
      </c>
      <c r="C50" s="14">
        <v>3.5432052610000002</v>
      </c>
      <c r="D50" s="14">
        <v>2.2850000000000001</v>
      </c>
      <c r="E50" s="14">
        <v>4.4577903750000001</v>
      </c>
      <c r="F50" s="22">
        <v>46043</v>
      </c>
      <c r="G50" s="14">
        <v>3.277174</v>
      </c>
      <c r="H50" s="14">
        <v>3.5295399999999999</v>
      </c>
      <c r="I50" s="14">
        <v>3.4142484660000001</v>
      </c>
      <c r="J50" s="14">
        <v>3.5969998840000001</v>
      </c>
      <c r="K50" s="14">
        <v>4.7811994550000003</v>
      </c>
      <c r="L50">
        <v>2.882318497</v>
      </c>
    </row>
    <row r="51" spans="1:12">
      <c r="A51" s="23">
        <v>46044</v>
      </c>
      <c r="B51" s="14">
        <v>4.2448835369999998</v>
      </c>
      <c r="C51" s="14">
        <v>3.5162773129999998</v>
      </c>
      <c r="D51" s="14">
        <v>2.2459989999999999</v>
      </c>
      <c r="E51" s="14">
        <v>4.4737939830000002</v>
      </c>
      <c r="F51" s="22">
        <v>46044</v>
      </c>
      <c r="G51" s="14">
        <v>3.2708879999999998</v>
      </c>
      <c r="H51" s="14">
        <v>3.5148609999999998</v>
      </c>
      <c r="I51" s="14">
        <v>3.3997554779999999</v>
      </c>
      <c r="J51" s="14">
        <v>3.5499999519999998</v>
      </c>
      <c r="K51" s="14">
        <v>4.7969999310000002</v>
      </c>
      <c r="L51">
        <v>2.887783051</v>
      </c>
    </row>
    <row r="52" spans="1:12">
      <c r="A52" s="24">
        <v>46045</v>
      </c>
      <c r="B52" s="14">
        <v>4.2251815800000001</v>
      </c>
      <c r="C52" s="14">
        <v>3.4940767290000001</v>
      </c>
      <c r="D52" s="14">
        <v>2.2570000000000001</v>
      </c>
      <c r="E52" s="14">
        <v>4.5119590760000001</v>
      </c>
      <c r="F52" s="22">
        <v>46045</v>
      </c>
      <c r="G52" s="14">
        <v>3.2718340000000001</v>
      </c>
      <c r="H52" s="14">
        <v>3.513026</v>
      </c>
      <c r="I52" s="14">
        <v>3.413351059</v>
      </c>
      <c r="J52" s="14">
        <v>3.579999924</v>
      </c>
      <c r="K52" s="14">
        <v>4.8176994320000004</v>
      </c>
      <c r="L52">
        <v>2.9064016339999998</v>
      </c>
    </row>
    <row r="53" spans="1:12">
      <c r="A53" s="23">
        <v>46048</v>
      </c>
      <c r="B53" s="14">
        <v>4.2113456730000003</v>
      </c>
      <c r="C53" s="14">
        <v>3.4367275240000001</v>
      </c>
      <c r="D53" s="14">
        <v>2.238</v>
      </c>
      <c r="E53" s="14">
        <v>4.4970598219999998</v>
      </c>
      <c r="F53" s="22">
        <v>46048</v>
      </c>
      <c r="G53" s="14">
        <v>3.2289889999999999</v>
      </c>
      <c r="H53" s="14">
        <v>3.466008</v>
      </c>
      <c r="I53" s="14">
        <v>3.3709993360000001</v>
      </c>
      <c r="J53" s="14">
        <v>3.545000076</v>
      </c>
      <c r="K53" s="14">
        <v>4.8176994320000004</v>
      </c>
      <c r="L53">
        <v>2.8670568470000002</v>
      </c>
    </row>
    <row r="54" spans="1:12">
      <c r="A54" s="24">
        <v>46049</v>
      </c>
      <c r="B54" s="14">
        <v>4.2431621550000003</v>
      </c>
      <c r="C54" s="14">
        <v>3.4375038149999999</v>
      </c>
      <c r="D54" s="14">
        <v>2.2909989999999998</v>
      </c>
      <c r="E54" s="14">
        <v>4.5248546599999999</v>
      </c>
      <c r="F54" s="22">
        <v>46049</v>
      </c>
      <c r="G54" s="14">
        <v>3.2330429999999999</v>
      </c>
      <c r="H54" s="14">
        <v>3.469131</v>
      </c>
      <c r="I54" s="14">
        <v>3.4181146619999998</v>
      </c>
      <c r="J54" s="14">
        <v>3.52699995</v>
      </c>
      <c r="K54" s="14">
        <v>4.8445496559999999</v>
      </c>
      <c r="L54">
        <v>2.8745889660000001</v>
      </c>
    </row>
    <row r="55" spans="1:12">
      <c r="A55" s="23">
        <v>46050</v>
      </c>
      <c r="B55" s="14">
        <v>4.2432155610000004</v>
      </c>
      <c r="C55" s="14">
        <v>3.4286270139999999</v>
      </c>
      <c r="D55" s="14">
        <v>2.242</v>
      </c>
      <c r="E55" s="14">
        <v>4.5437545779999997</v>
      </c>
      <c r="F55" s="22">
        <v>46050</v>
      </c>
      <c r="G55" s="14">
        <v>3.2220279999999999</v>
      </c>
      <c r="H55" s="14">
        <v>3.4658519999999999</v>
      </c>
      <c r="I55" s="14">
        <v>3.4269723889999999</v>
      </c>
      <c r="J55" s="14">
        <v>3.5169999600000001</v>
      </c>
      <c r="K55" s="14">
        <v>4.8143496509999997</v>
      </c>
      <c r="L55">
        <v>2.8572559360000001</v>
      </c>
    </row>
    <row r="56" spans="1:12">
      <c r="A56" s="24">
        <v>46051</v>
      </c>
      <c r="B56" s="14">
        <v>4.2313385009999998</v>
      </c>
      <c r="C56" s="14">
        <v>3.4197568889999999</v>
      </c>
      <c r="D56" s="14">
        <v>2.2610000000000001</v>
      </c>
      <c r="E56" s="14">
        <v>4.5110530850000004</v>
      </c>
      <c r="F56" s="22">
        <v>46051</v>
      </c>
      <c r="G56" s="14">
        <v>3.2040199999999999</v>
      </c>
      <c r="H56" s="14">
        <v>3.4493680000000002</v>
      </c>
      <c r="I56" s="14">
        <v>3.415015221</v>
      </c>
      <c r="J56" s="14">
        <v>3.5620000360000001</v>
      </c>
      <c r="K56" s="14">
        <v>4.8355498309999998</v>
      </c>
      <c r="L56">
        <v>2.839927673</v>
      </c>
    </row>
    <row r="57" spans="1:12">
      <c r="A57" s="23">
        <v>46052</v>
      </c>
      <c r="B57" s="14">
        <v>4.2354707720000002</v>
      </c>
      <c r="C57" s="14">
        <v>3.4257793429999999</v>
      </c>
      <c r="D57" s="14">
        <v>2.2519999999999998</v>
      </c>
      <c r="E57" s="14">
        <v>4.5216569900000003</v>
      </c>
      <c r="F57" s="22">
        <v>46052</v>
      </c>
      <c r="G57" s="14">
        <v>3.2119870000000001</v>
      </c>
      <c r="H57" s="14">
        <v>3.4564349999999999</v>
      </c>
      <c r="I57" s="14">
        <v>3.4169216160000002</v>
      </c>
      <c r="J57" s="14">
        <v>3.6110000609999999</v>
      </c>
      <c r="K57" s="14">
        <v>4.8061995509999997</v>
      </c>
      <c r="L57">
        <v>2.843095779</v>
      </c>
    </row>
    <row r="58" spans="1:12">
      <c r="A58" s="24">
        <v>46055</v>
      </c>
      <c r="B58" s="14">
        <v>4.2773923869999999</v>
      </c>
      <c r="C58" s="14">
        <v>3.4497318269999999</v>
      </c>
      <c r="D58" s="14">
        <v>2.2439990000000001</v>
      </c>
      <c r="E58" s="14">
        <v>4.5062665940000004</v>
      </c>
      <c r="F58" s="22">
        <v>46055</v>
      </c>
      <c r="G58" s="14">
        <v>3.2331349999999999</v>
      </c>
      <c r="H58" s="14">
        <v>3.4815429999999998</v>
      </c>
      <c r="I58" s="14">
        <v>3.4294567109999998</v>
      </c>
      <c r="J58" s="14">
        <v>3.6050000190000002</v>
      </c>
      <c r="K58" s="14">
        <v>4.7977499960000003</v>
      </c>
      <c r="L58">
        <v>2.8678703310000002</v>
      </c>
    </row>
    <row r="59" spans="1:12">
      <c r="A59" s="23">
        <v>46056</v>
      </c>
      <c r="B59" s="14">
        <v>4.2654724120000003</v>
      </c>
      <c r="C59" s="14">
        <v>3.4671859739999999</v>
      </c>
      <c r="D59" s="14">
        <v>2.264999</v>
      </c>
      <c r="E59" s="14">
        <v>4.5168733599999999</v>
      </c>
      <c r="F59" s="22">
        <v>46056</v>
      </c>
      <c r="G59" s="14">
        <v>3.2558630000000002</v>
      </c>
      <c r="H59" s="14">
        <v>3.498148</v>
      </c>
      <c r="I59" s="14">
        <v>3.434802055</v>
      </c>
      <c r="J59" s="14">
        <v>3.6619999409999999</v>
      </c>
      <c r="K59" s="14">
        <v>4.8340997699999999</v>
      </c>
      <c r="L59">
        <v>2.8907928470000002</v>
      </c>
    </row>
    <row r="60" spans="1:12">
      <c r="A60" s="24">
        <v>46057</v>
      </c>
      <c r="B60" s="14">
        <v>4.273521423</v>
      </c>
      <c r="C60" s="14">
        <v>3.447271347</v>
      </c>
      <c r="D60" s="14">
        <v>2.2559999999999998</v>
      </c>
      <c r="E60" s="14">
        <v>4.5462675089999998</v>
      </c>
      <c r="F60" s="22">
        <v>46057</v>
      </c>
      <c r="G60" s="14">
        <v>3.2302689999999998</v>
      </c>
      <c r="H60" s="14">
        <v>3.470243</v>
      </c>
      <c r="I60" s="14">
        <v>3.434905052</v>
      </c>
      <c r="J60" s="14">
        <v>3.7200000289999999</v>
      </c>
      <c r="K60" s="14">
        <v>4.8660998339999999</v>
      </c>
      <c r="L60">
        <v>2.8592710490000002</v>
      </c>
    </row>
    <row r="61" spans="1:12">
      <c r="A61" s="23">
        <v>46058</v>
      </c>
      <c r="B61" s="14">
        <v>4.180072784</v>
      </c>
      <c r="C61" s="14">
        <v>3.446548462</v>
      </c>
      <c r="D61" s="14">
        <v>2.240999</v>
      </c>
      <c r="E61" s="14">
        <v>4.5586462020000003</v>
      </c>
      <c r="F61" s="22">
        <v>46058</v>
      </c>
      <c r="G61" s="14">
        <v>3.221797</v>
      </c>
      <c r="H61" s="14">
        <v>3.469087</v>
      </c>
      <c r="I61" s="14">
        <v>3.3938875199999998</v>
      </c>
      <c r="J61" s="14">
        <v>3.691999912</v>
      </c>
      <c r="K61" s="14">
        <v>4.8569998740000004</v>
      </c>
      <c r="L61">
        <v>2.8425130840000001</v>
      </c>
    </row>
    <row r="62" spans="1:12">
      <c r="A62" s="24">
        <v>46059</v>
      </c>
      <c r="B62" s="14">
        <v>4.2059955599999999</v>
      </c>
      <c r="C62" s="14">
        <v>3.4473905560000002</v>
      </c>
      <c r="D62" s="14">
        <v>2.2309999999999999</v>
      </c>
      <c r="E62" s="14">
        <v>4.5143241879999998</v>
      </c>
      <c r="F62" s="22">
        <v>46059</v>
      </c>
      <c r="G62" s="14">
        <v>3.2220710000000001</v>
      </c>
      <c r="H62" s="14">
        <v>3.4664570000000001</v>
      </c>
      <c r="I62" s="14">
        <v>3.4013500209999998</v>
      </c>
      <c r="J62" s="14">
        <v>3.7170000079999999</v>
      </c>
      <c r="K62" s="14">
        <v>4.8263998030000002</v>
      </c>
      <c r="L62">
        <v>2.8421268460000002</v>
      </c>
    </row>
    <row r="63" spans="1:12">
      <c r="A63" s="23">
        <v>46062</v>
      </c>
      <c r="B63" s="14">
        <v>4.2020683290000003</v>
      </c>
      <c r="C63" s="14">
        <v>3.443141937</v>
      </c>
      <c r="D63" s="14">
        <v>2.29</v>
      </c>
      <c r="E63" s="14">
        <v>4.5271320340000001</v>
      </c>
      <c r="F63" s="22">
        <v>46062</v>
      </c>
      <c r="G63" s="14">
        <v>3.2112090000000002</v>
      </c>
      <c r="H63" s="14">
        <v>3.4506549999999998</v>
      </c>
      <c r="I63" s="14">
        <v>3.399055481</v>
      </c>
      <c r="J63" s="14">
        <v>3.760999918</v>
      </c>
      <c r="K63" s="14">
        <v>4.8663496970000004</v>
      </c>
      <c r="L63">
        <v>2.8403568269999999</v>
      </c>
    </row>
    <row r="64" spans="1:12">
      <c r="A64" s="24">
        <v>46063</v>
      </c>
      <c r="B64" s="14">
        <v>4.1426649089999996</v>
      </c>
      <c r="C64" s="14">
        <v>3.4064483640000001</v>
      </c>
      <c r="D64" s="14">
        <v>2.242</v>
      </c>
      <c r="E64" s="14">
        <v>4.5063047410000001</v>
      </c>
      <c r="F64" s="22">
        <v>46063</v>
      </c>
      <c r="G64" s="14">
        <v>3.1781890000000002</v>
      </c>
      <c r="H64" s="14">
        <v>3.4131119999999999</v>
      </c>
      <c r="I64" s="14">
        <v>3.3618478779999998</v>
      </c>
      <c r="J64" s="14">
        <v>3.680999994</v>
      </c>
      <c r="K64" s="14">
        <v>4.8283996580000004</v>
      </c>
      <c r="L64">
        <v>2.8084106449999999</v>
      </c>
    </row>
    <row r="65" spans="1:12">
      <c r="A65" s="23">
        <v>46064</v>
      </c>
      <c r="B65" s="14">
        <v>4.1723880769999999</v>
      </c>
      <c r="C65" s="14">
        <v>3.3798093800000002</v>
      </c>
      <c r="D65" s="14">
        <v>2.242</v>
      </c>
      <c r="E65" s="14">
        <v>4.4761276250000002</v>
      </c>
      <c r="F65" s="22">
        <v>46064</v>
      </c>
      <c r="G65" s="14">
        <v>3.1614279999999999</v>
      </c>
      <c r="H65" s="14">
        <v>3.3968820000000002</v>
      </c>
      <c r="I65" s="14">
        <v>3.3377628330000002</v>
      </c>
      <c r="J65" s="14">
        <v>3.6349999899999998</v>
      </c>
      <c r="K65" s="14">
        <v>4.7564997670000002</v>
      </c>
      <c r="L65">
        <v>2.7923669819999999</v>
      </c>
    </row>
    <row r="66" spans="1:12">
      <c r="A66" s="24">
        <v>46065</v>
      </c>
      <c r="B66" s="14">
        <v>4.0980777740000001</v>
      </c>
      <c r="C66" s="14">
        <v>3.3645067210000001</v>
      </c>
      <c r="D66" s="14">
        <v>2.242</v>
      </c>
      <c r="E66" s="14">
        <v>4.4523181919999999</v>
      </c>
      <c r="F66" s="22">
        <v>46065</v>
      </c>
      <c r="G66" s="14">
        <v>3.1511369999999999</v>
      </c>
      <c r="H66" s="14">
        <v>3.3835220000000001</v>
      </c>
      <c r="I66" s="14">
        <v>3.282268524</v>
      </c>
      <c r="J66" s="14">
        <v>3.6150000100000002</v>
      </c>
      <c r="K66" s="14">
        <v>4.8069000239999999</v>
      </c>
      <c r="L66">
        <v>2.7785301210000002</v>
      </c>
    </row>
    <row r="67" spans="1:12">
      <c r="A67" s="23">
        <v>46066</v>
      </c>
      <c r="B67" s="14">
        <v>4.0483140950000003</v>
      </c>
      <c r="C67" s="14">
        <v>3.3408393859999999</v>
      </c>
      <c r="D67" s="14">
        <v>2.226</v>
      </c>
      <c r="E67" s="14">
        <v>4.4159297940000002</v>
      </c>
      <c r="F67" s="22">
        <v>46066</v>
      </c>
      <c r="G67" s="14">
        <v>3.1342249999999998</v>
      </c>
      <c r="H67" s="14">
        <v>3.363899</v>
      </c>
      <c r="I67" s="14">
        <v>3.256061554</v>
      </c>
      <c r="J67" s="14">
        <v>3.5650000570000002</v>
      </c>
      <c r="K67" s="14">
        <v>4.7480998039999998</v>
      </c>
      <c r="L67">
        <v>2.7548875810000002</v>
      </c>
    </row>
    <row r="68" spans="1:12">
      <c r="A68" s="24">
        <v>46069</v>
      </c>
      <c r="B68" s="14">
        <v>4.0483140950000003</v>
      </c>
      <c r="C68" s="14">
        <v>3.3440313339999999</v>
      </c>
      <c r="D68" s="14">
        <v>2.214</v>
      </c>
      <c r="E68" s="14">
        <v>4.3990621570000004</v>
      </c>
      <c r="F68" s="22">
        <v>46069</v>
      </c>
      <c r="G68" s="14">
        <v>3.1366999999999998</v>
      </c>
      <c r="H68" s="14">
        <v>3.3669129999999998</v>
      </c>
      <c r="I68" s="14">
        <v>3.2561025620000001</v>
      </c>
      <c r="J68" s="14" t="e">
        <v>#N/A</v>
      </c>
      <c r="K68" s="14">
        <v>4.7088994980000001</v>
      </c>
      <c r="L68">
        <v>2.7540845869999999</v>
      </c>
    </row>
    <row r="69" spans="1:12">
      <c r="A69" s="23">
        <v>46070</v>
      </c>
      <c r="B69" s="14">
        <v>4.0578365329999997</v>
      </c>
      <c r="C69" s="14">
        <v>3.3164491649999999</v>
      </c>
      <c r="D69" s="14">
        <v>2.1349990000000001</v>
      </c>
      <c r="E69" s="14">
        <v>4.3759393690000001</v>
      </c>
      <c r="F69" s="22">
        <v>46070</v>
      </c>
      <c r="G69" s="14">
        <v>3.115888</v>
      </c>
      <c r="H69" s="14">
        <v>3.3503479999999999</v>
      </c>
      <c r="I69" s="14">
        <v>3.227385521</v>
      </c>
      <c r="J69" s="14" t="e">
        <v>#N/A</v>
      </c>
      <c r="K69" s="14">
        <v>4.6847996710000004</v>
      </c>
      <c r="L69">
        <v>2.7379322049999999</v>
      </c>
    </row>
    <row r="70" spans="1:12">
      <c r="A70" s="24">
        <v>46071</v>
      </c>
      <c r="B70" s="14">
        <v>4.0826940540000001</v>
      </c>
      <c r="C70" s="14">
        <v>3.3115243909999998</v>
      </c>
      <c r="D70" s="14">
        <v>2.1480000000000001</v>
      </c>
      <c r="E70" s="14">
        <v>4.3737134930000003</v>
      </c>
      <c r="F70" s="22">
        <v>46071</v>
      </c>
      <c r="G70" s="14">
        <v>3.1142940000000001</v>
      </c>
      <c r="H70" s="14">
        <v>3.345415</v>
      </c>
      <c r="I70" s="14">
        <v>3.2303123469999999</v>
      </c>
      <c r="J70" s="14" t="e">
        <v>#N/A</v>
      </c>
      <c r="K70" s="14">
        <v>4.723249912</v>
      </c>
      <c r="L70">
        <v>2.7390193940000001</v>
      </c>
    </row>
    <row r="71" spans="1:12">
      <c r="A71" s="23">
        <v>46072</v>
      </c>
      <c r="B71" s="14">
        <v>4.067346573</v>
      </c>
      <c r="C71" s="14">
        <v>3.3155059809999998</v>
      </c>
      <c r="D71" s="14">
        <v>2.15</v>
      </c>
      <c r="E71" s="14">
        <v>4.3680200579999999</v>
      </c>
      <c r="F71" s="22">
        <v>46072</v>
      </c>
      <c r="G71" s="14">
        <v>3.1110880000000001</v>
      </c>
      <c r="H71" s="14">
        <v>3.3496090000000001</v>
      </c>
      <c r="I71" s="14">
        <v>3.2238454820000002</v>
      </c>
      <c r="J71" s="14">
        <v>3.585000038</v>
      </c>
      <c r="K71" s="14">
        <v>4.7834496499999997</v>
      </c>
      <c r="L71">
        <v>2.7426300050000001</v>
      </c>
    </row>
    <row r="72" spans="1:12">
      <c r="A72" s="24">
        <v>46073</v>
      </c>
      <c r="B72" s="14">
        <v>4.0826034550000001</v>
      </c>
      <c r="C72" s="14">
        <v>3.3004007340000001</v>
      </c>
      <c r="D72" s="14">
        <v>2.1209989999999999</v>
      </c>
      <c r="E72" s="14">
        <v>4.3533983230000004</v>
      </c>
      <c r="F72" s="22">
        <v>46073</v>
      </c>
      <c r="G72" s="14">
        <v>3.1486879999999999</v>
      </c>
      <c r="H72" s="14">
        <v>3.3403580000000002</v>
      </c>
      <c r="I72" s="14">
        <v>3.2165899279999999</v>
      </c>
      <c r="J72" s="14">
        <v>3.5369999409999999</v>
      </c>
      <c r="K72" s="14">
        <v>4.7279996869999996</v>
      </c>
      <c r="L72">
        <v>2.7373857500000001</v>
      </c>
    </row>
    <row r="73" spans="1:12">
      <c r="A73" s="23">
        <v>46076</v>
      </c>
      <c r="B73" s="14">
        <v>4.0309047700000002</v>
      </c>
      <c r="C73" s="14">
        <v>3.2770280839999999</v>
      </c>
      <c r="D73" s="14">
        <v>2.1209989999999999</v>
      </c>
      <c r="E73" s="14">
        <v>4.3140745159999998</v>
      </c>
      <c r="F73" s="22">
        <v>46076</v>
      </c>
      <c r="G73" s="14">
        <v>3.1251060000000002</v>
      </c>
      <c r="H73" s="14">
        <v>3.319207</v>
      </c>
      <c r="I73" s="14">
        <v>3.1831922530000001</v>
      </c>
      <c r="J73" s="14">
        <v>3.5769999029999999</v>
      </c>
      <c r="K73" s="14">
        <v>4.7189998629999996</v>
      </c>
      <c r="L73">
        <v>2.7106266020000001</v>
      </c>
    </row>
    <row r="74" spans="1:12">
      <c r="A74" s="24">
        <v>46077</v>
      </c>
      <c r="B74" s="14">
        <v>4.0289621350000004</v>
      </c>
      <c r="C74" s="14">
        <v>3.2683448789999998</v>
      </c>
      <c r="D74" s="14">
        <v>2.089</v>
      </c>
      <c r="E74" s="14">
        <v>4.3056163789999999</v>
      </c>
      <c r="F74" s="22">
        <v>46077</v>
      </c>
      <c r="G74" s="14">
        <v>3.1192299999999999</v>
      </c>
      <c r="H74" s="14">
        <v>3.314152</v>
      </c>
      <c r="I74" s="14">
        <v>3.1875696179999999</v>
      </c>
      <c r="J74" s="14">
        <v>3.5889999869999998</v>
      </c>
      <c r="K74" s="14">
        <v>4.6946496959999999</v>
      </c>
      <c r="L74">
        <v>2.70706749</v>
      </c>
    </row>
    <row r="75" spans="1:12">
      <c r="A75" s="23">
        <v>46078</v>
      </c>
      <c r="B75" s="14">
        <v>4.0518693920000004</v>
      </c>
      <c r="C75" s="14">
        <v>3.2559995650000002</v>
      </c>
      <c r="D75" s="14">
        <v>2.1379999999999999</v>
      </c>
      <c r="E75" s="14">
        <v>4.3170900339999996</v>
      </c>
      <c r="F75" s="22">
        <v>46078</v>
      </c>
      <c r="G75" s="14">
        <v>3.1119300000000001</v>
      </c>
      <c r="H75" s="14">
        <v>3.3076050000000001</v>
      </c>
      <c r="I75" s="14">
        <v>3.2048301700000001</v>
      </c>
      <c r="J75" s="14">
        <v>3.5569999220000001</v>
      </c>
      <c r="K75" s="14">
        <v>4.7196998600000004</v>
      </c>
      <c r="L75">
        <v>2.7072324750000001</v>
      </c>
    </row>
    <row r="76" spans="1:12">
      <c r="A76" s="24">
        <v>46079</v>
      </c>
      <c r="B76" s="14">
        <v>4.00409317</v>
      </c>
      <c r="C76" s="14">
        <v>3.2485857010000001</v>
      </c>
      <c r="D76" s="14">
        <v>2.1579999999999999</v>
      </c>
      <c r="E76" s="14">
        <v>4.2740745540000002</v>
      </c>
      <c r="F76" s="22">
        <v>46079</v>
      </c>
      <c r="G76" s="14">
        <v>3.09876</v>
      </c>
      <c r="H76" s="14">
        <v>3.3001640000000001</v>
      </c>
      <c r="I76" s="14">
        <v>3.1719579699999998</v>
      </c>
      <c r="J76" s="14">
        <v>3.4719998840000001</v>
      </c>
      <c r="K76" s="14">
        <v>4.7012495989999996</v>
      </c>
      <c r="L76">
        <v>2.6905508039999999</v>
      </c>
    </row>
    <row r="77" spans="1:12">
      <c r="A77" s="23">
        <v>46080</v>
      </c>
      <c r="B77" s="14">
        <v>3.9374504090000002</v>
      </c>
      <c r="C77" s="14">
        <v>3.2178983689999998</v>
      </c>
      <c r="D77" s="14">
        <v>2.12</v>
      </c>
      <c r="E77" s="14">
        <v>4.2325696949999996</v>
      </c>
      <c r="F77" s="22">
        <v>46080</v>
      </c>
      <c r="G77" s="14">
        <v>3.0615779999999999</v>
      </c>
      <c r="H77" s="14">
        <v>3.270905</v>
      </c>
      <c r="I77" s="14">
        <v>3.1271724700000001</v>
      </c>
      <c r="J77" s="14">
        <v>3.4449999330000001</v>
      </c>
      <c r="K77" s="14">
        <v>4.6510500910000001</v>
      </c>
      <c r="L77">
        <v>2.6432847979999998</v>
      </c>
    </row>
    <row r="78" spans="1:12">
      <c r="A78" s="24">
        <v>46083</v>
      </c>
      <c r="B78" s="14">
        <v>4.0344982150000002</v>
      </c>
      <c r="C78" s="14">
        <v>3.2905387880000001</v>
      </c>
      <c r="D78" s="14">
        <v>2.0879989999999999</v>
      </c>
      <c r="E78" s="14">
        <v>4.3739175799999996</v>
      </c>
      <c r="F78" s="22">
        <v>46083</v>
      </c>
      <c r="G78" s="14">
        <v>3.134919</v>
      </c>
      <c r="H78" s="14">
        <v>3.3556180000000002</v>
      </c>
      <c r="I78" s="14">
        <v>3.2119216920000002</v>
      </c>
      <c r="J78" s="14" t="e">
        <v>#N/A</v>
      </c>
      <c r="K78" s="14">
        <v>4.6331000329999998</v>
      </c>
      <c r="L78">
        <v>2.7119874949999998</v>
      </c>
    </row>
    <row r="79" spans="1:12">
      <c r="A79" s="23">
        <v>46084</v>
      </c>
      <c r="B79" s="14">
        <v>4.0593681339999996</v>
      </c>
      <c r="C79" s="14">
        <v>3.3741903309999999</v>
      </c>
      <c r="D79" s="14">
        <v>2.1419990000000002</v>
      </c>
      <c r="E79" s="14">
        <v>4.4706325529999997</v>
      </c>
      <c r="F79" s="22">
        <v>46084</v>
      </c>
      <c r="G79" s="14">
        <v>3.2031160000000001</v>
      </c>
      <c r="H79" s="14">
        <v>3.4552360000000002</v>
      </c>
      <c r="I79" s="14">
        <v>3.2423372270000002</v>
      </c>
      <c r="J79" s="14">
        <v>3.619999886</v>
      </c>
      <c r="K79" s="14">
        <v>4.7712993619999997</v>
      </c>
      <c r="L79">
        <v>2.7521543500000001</v>
      </c>
    </row>
    <row r="80" spans="1:12">
      <c r="A80" s="24">
        <v>46085</v>
      </c>
      <c r="B80" s="14">
        <v>4.0958528520000002</v>
      </c>
      <c r="C80" s="14">
        <v>3.3483171459999999</v>
      </c>
      <c r="D80" s="14">
        <v>2.12</v>
      </c>
      <c r="E80" s="14">
        <v>4.4406299589999998</v>
      </c>
      <c r="F80" s="22">
        <v>46085</v>
      </c>
      <c r="G80" s="14">
        <v>3.193848</v>
      </c>
      <c r="H80" s="14">
        <v>3.427629</v>
      </c>
      <c r="I80" s="14">
        <v>3.2757501599999999</v>
      </c>
      <c r="J80" s="14">
        <v>3.6370000839999999</v>
      </c>
      <c r="K80" s="14">
        <v>4.7467498780000001</v>
      </c>
      <c r="L80">
        <v>2.75020504</v>
      </c>
    </row>
    <row r="81" spans="1:12">
      <c r="A81" s="23">
        <v>46086</v>
      </c>
      <c r="B81" s="14">
        <v>4.1363477709999996</v>
      </c>
      <c r="C81" s="14">
        <v>3.4647912980000002</v>
      </c>
      <c r="D81" s="14">
        <v>2.1629999999999998</v>
      </c>
      <c r="E81" s="14">
        <v>4.5415134430000004</v>
      </c>
      <c r="F81" s="22">
        <v>46086</v>
      </c>
      <c r="G81" s="14">
        <v>3.3010950000000001</v>
      </c>
      <c r="H81" s="14">
        <v>3.560295</v>
      </c>
      <c r="I81" s="14">
        <v>3.3499507899999998</v>
      </c>
      <c r="J81" s="14">
        <v>3.579999924</v>
      </c>
      <c r="K81" s="14">
        <v>4.7977499960000003</v>
      </c>
      <c r="L81">
        <v>2.84088707</v>
      </c>
    </row>
    <row r="82" spans="1:12">
      <c r="A82" s="24">
        <v>46087</v>
      </c>
      <c r="B82" s="14">
        <v>4.138256073</v>
      </c>
      <c r="C82" s="14">
        <v>3.5114717479999999</v>
      </c>
      <c r="D82" s="14">
        <v>2.1739999999999999</v>
      </c>
      <c r="E82" s="14">
        <v>4.6270294190000003</v>
      </c>
      <c r="F82" s="22">
        <v>46087</v>
      </c>
      <c r="G82" s="14">
        <v>3.35107</v>
      </c>
      <c r="H82" s="14">
        <v>3.6192760000000002</v>
      </c>
      <c r="I82" s="14">
        <v>3.4053344729999999</v>
      </c>
      <c r="J82" s="14">
        <v>3.6170001030000001</v>
      </c>
      <c r="K82" s="14">
        <v>4.8424997330000004</v>
      </c>
      <c r="L82">
        <v>2.8597021100000002</v>
      </c>
    </row>
    <row r="83" spans="1:12">
      <c r="A83" s="23">
        <v>46090</v>
      </c>
      <c r="B83" s="14">
        <v>4.0957651139999998</v>
      </c>
      <c r="C83" s="14">
        <v>3.5087919240000001</v>
      </c>
      <c r="D83" s="14">
        <v>2.191999</v>
      </c>
      <c r="E83" s="14">
        <v>4.6470804210000001</v>
      </c>
      <c r="F83" s="22">
        <v>46090</v>
      </c>
      <c r="G83" s="14">
        <v>3.3446069999999999</v>
      </c>
      <c r="H83" s="14">
        <v>3.6121979999999998</v>
      </c>
      <c r="I83" s="14">
        <v>3.364486694</v>
      </c>
      <c r="J83" s="14">
        <v>3.7420001030000001</v>
      </c>
      <c r="K83" s="14">
        <v>4.9369497300000003</v>
      </c>
      <c r="L83">
        <v>2.85887</v>
      </c>
    </row>
    <row r="84" spans="1:12">
      <c r="A84" s="24">
        <v>46091</v>
      </c>
      <c r="B84" s="14">
        <v>4.1556739809999996</v>
      </c>
      <c r="C84" s="14">
        <v>3.4448070529999999</v>
      </c>
      <c r="D84" s="14">
        <v>2.179999</v>
      </c>
      <c r="E84" s="14">
        <v>4.5536708829999997</v>
      </c>
      <c r="F84" s="22">
        <v>46091</v>
      </c>
      <c r="G84" s="14">
        <v>3.2920859999999998</v>
      </c>
      <c r="H84" s="14">
        <v>3.5255719999999999</v>
      </c>
      <c r="I84" s="14">
        <v>3.3999967579999999</v>
      </c>
      <c r="J84" s="14">
        <v>3.6189999579999999</v>
      </c>
      <c r="K84" s="14">
        <v>4.8469996450000004</v>
      </c>
      <c r="L84">
        <v>2.8364950000000002</v>
      </c>
    </row>
    <row r="85" spans="1:12">
      <c r="A85" s="23">
        <v>46092</v>
      </c>
      <c r="B85" s="14">
        <v>4.2296152109999996</v>
      </c>
      <c r="C85" s="14">
        <v>3.5706033709999998</v>
      </c>
      <c r="D85" s="14">
        <v>2.1720000000000002</v>
      </c>
      <c r="E85" s="14">
        <v>4.6864356989999996</v>
      </c>
      <c r="F85" s="22">
        <v>46092</v>
      </c>
      <c r="G85" s="14">
        <v>3.4082469999999998</v>
      </c>
      <c r="H85" s="14">
        <v>3.6681270000000001</v>
      </c>
      <c r="I85" s="14">
        <v>3.4841051099999998</v>
      </c>
      <c r="J85" s="14">
        <v>3.6119999890000001</v>
      </c>
      <c r="K85" s="14">
        <v>4.8497495649999998</v>
      </c>
      <c r="L85">
        <v>2.9323440000000001</v>
      </c>
    </row>
    <row r="86" spans="1:12">
      <c r="A86" s="24">
        <v>46093</v>
      </c>
      <c r="B86" s="14">
        <v>4.2609262469999996</v>
      </c>
      <c r="C86" s="14">
        <v>3.6266527179999999</v>
      </c>
      <c r="D86" s="14">
        <v>2.1880000000000002</v>
      </c>
      <c r="E86" s="14">
        <v>4.7733402250000001</v>
      </c>
      <c r="F86" s="22">
        <v>46093</v>
      </c>
      <c r="G86" s="14">
        <v>3.4598309999999999</v>
      </c>
      <c r="H86" s="14">
        <v>3.7466089999999999</v>
      </c>
      <c r="I86" s="14">
        <v>3.5267009740000002</v>
      </c>
      <c r="J86" s="14">
        <v>3.6489999289999999</v>
      </c>
      <c r="K86" s="14">
        <v>4.9519000049999997</v>
      </c>
      <c r="L86">
        <v>2.956874</v>
      </c>
    </row>
    <row r="87" spans="1:12">
      <c r="A87" s="23">
        <v>46094</v>
      </c>
      <c r="B87" s="14">
        <v>4.2766818999999998</v>
      </c>
      <c r="C87" s="14">
        <v>3.6729001999999999</v>
      </c>
      <c r="D87" s="14">
        <v>2.2599990000000001</v>
      </c>
      <c r="E87" s="14">
        <v>4.822693825</v>
      </c>
      <c r="F87" s="22">
        <v>46094</v>
      </c>
      <c r="G87" s="14">
        <v>3.4951219999999998</v>
      </c>
      <c r="H87" s="14">
        <v>3.7891170000000001</v>
      </c>
      <c r="I87" s="14">
        <v>3.5067176820000001</v>
      </c>
      <c r="J87" s="14">
        <v>3.7000000480000002</v>
      </c>
      <c r="K87" s="14">
        <v>4.9505996699999999</v>
      </c>
      <c r="L87">
        <v>2.9829129999999999</v>
      </c>
    </row>
    <row r="88" spans="1:12">
      <c r="A88" s="24">
        <v>46097</v>
      </c>
      <c r="B88" s="14">
        <v>4.2160053250000002</v>
      </c>
      <c r="C88" s="14">
        <v>3.6161651610000001</v>
      </c>
      <c r="D88" s="14">
        <v>2.2759999999999998</v>
      </c>
      <c r="E88" s="14">
        <v>4.7697677609999998</v>
      </c>
      <c r="F88" s="22">
        <v>46097</v>
      </c>
      <c r="G88" s="14">
        <v>3.4398149999999998</v>
      </c>
      <c r="H88" s="14">
        <v>3.7252260000000001</v>
      </c>
      <c r="I88" s="14">
        <v>3.4328813550000001</v>
      </c>
      <c r="J88" s="14">
        <v>3.6800000669999999</v>
      </c>
      <c r="K88" s="14">
        <v>5.0013499259999996</v>
      </c>
      <c r="L88">
        <v>2.9518330000000002</v>
      </c>
    </row>
    <row r="89" spans="1:12">
      <c r="A89" s="23">
        <v>46098</v>
      </c>
      <c r="B89" s="14">
        <v>4.1984548569999998</v>
      </c>
      <c r="C89" s="14">
        <v>3.5560855870000001</v>
      </c>
      <c r="D89" s="14">
        <v>2.2759999999999998</v>
      </c>
      <c r="E89" s="14">
        <v>4.6935415269999998</v>
      </c>
      <c r="F89" s="22">
        <v>46098</v>
      </c>
      <c r="G89" s="14">
        <v>3.384007</v>
      </c>
      <c r="H89" s="14">
        <v>3.6552340000000001</v>
      </c>
      <c r="I89" s="14">
        <v>3.3852081300000001</v>
      </c>
      <c r="J89" s="14">
        <v>3.7000000480000002</v>
      </c>
      <c r="K89" s="14">
        <v>4.9391999240000004</v>
      </c>
      <c r="L89">
        <v>2.9055270000000002</v>
      </c>
    </row>
    <row r="90" spans="1:12">
      <c r="A90" s="24">
        <v>46099</v>
      </c>
      <c r="B90" s="14">
        <v>4.26497364</v>
      </c>
      <c r="C90" s="14">
        <v>3.6042728419999999</v>
      </c>
      <c r="D90" s="14">
        <v>2.2189999999999999</v>
      </c>
      <c r="E90" s="14">
        <v>4.7383804319999996</v>
      </c>
      <c r="F90" s="22">
        <v>46099</v>
      </c>
      <c r="G90" s="14">
        <v>3.4353030000000002</v>
      </c>
      <c r="H90" s="14">
        <v>3.7273019999999999</v>
      </c>
      <c r="I90" s="14">
        <v>3.453501701</v>
      </c>
      <c r="J90" s="14">
        <v>3.6099998950000001</v>
      </c>
      <c r="K90" s="14">
        <v>4.8970494269999998</v>
      </c>
      <c r="L90">
        <v>2.939759</v>
      </c>
    </row>
    <row r="91" spans="1:12">
      <c r="A91" s="23">
        <v>46100</v>
      </c>
      <c r="B91" s="14">
        <v>4.2493038179999996</v>
      </c>
      <c r="C91" s="14">
        <v>3.6420345310000002</v>
      </c>
      <c r="D91" s="14">
        <v>2.276999</v>
      </c>
      <c r="E91" s="14">
        <v>4.8434734339999999</v>
      </c>
      <c r="F91" s="22">
        <v>46100</v>
      </c>
      <c r="G91" s="14">
        <v>3.464823</v>
      </c>
      <c r="H91" s="14">
        <v>3.7772199999999998</v>
      </c>
      <c r="I91" s="14">
        <v>3.4379110339999999</v>
      </c>
      <c r="J91" s="14">
        <v>3.6849999429999998</v>
      </c>
      <c r="K91" s="14">
        <v>4.975549698</v>
      </c>
      <c r="L91">
        <v>2.961716</v>
      </c>
    </row>
    <row r="92" spans="1:12">
      <c r="A92" s="24">
        <v>46101</v>
      </c>
      <c r="B92" s="14">
        <v>4.3796081539999996</v>
      </c>
      <c r="C92" s="14">
        <v>3.755413055</v>
      </c>
      <c r="D92" s="14">
        <v>2.276999</v>
      </c>
      <c r="E92" s="14">
        <v>4.9937181470000001</v>
      </c>
      <c r="F92" s="22">
        <v>46101</v>
      </c>
      <c r="G92" s="14">
        <v>3.5792609999999998</v>
      </c>
      <c r="H92" s="14">
        <v>3.9639639999999998</v>
      </c>
      <c r="I92" s="14">
        <v>3.5550966260000001</v>
      </c>
      <c r="J92" s="14">
        <v>3.7349998950000001</v>
      </c>
      <c r="K92" s="14">
        <v>5.0242500310000002</v>
      </c>
      <c r="L92">
        <v>3.0433509999999999</v>
      </c>
    </row>
    <row r="93" spans="1:12">
      <c r="A93" s="25">
        <v>46104</v>
      </c>
      <c r="B93">
        <v>4.3419866560000004</v>
      </c>
      <c r="C93">
        <v>3.711145401</v>
      </c>
      <c r="D93">
        <v>2.3130000000000002</v>
      </c>
      <c r="E93">
        <v>4.9197969439999998</v>
      </c>
      <c r="F93" s="25">
        <v>46104</v>
      </c>
      <c r="G93">
        <v>3.514624</v>
      </c>
      <c r="H93">
        <v>3.8772129999999998</v>
      </c>
      <c r="I93">
        <v>3.5434999469999999</v>
      </c>
      <c r="J93">
        <v>3.8849999899999998</v>
      </c>
      <c r="K93">
        <v>5.118049622</v>
      </c>
      <c r="L93">
        <v>3.004823</v>
      </c>
    </row>
    <row r="94" spans="1:12">
      <c r="A94" s="25">
        <v>46105</v>
      </c>
      <c r="B94">
        <v>4.3598575589999999</v>
      </c>
      <c r="C94">
        <v>3.7582778929999998</v>
      </c>
      <c r="D94">
        <v>2.266</v>
      </c>
      <c r="E94">
        <v>4.957839012</v>
      </c>
      <c r="F94" s="25">
        <v>46105</v>
      </c>
      <c r="G94">
        <v>3.561016</v>
      </c>
      <c r="H94">
        <v>3.9523389999999998</v>
      </c>
      <c r="I94">
        <v>3.5688734050000002</v>
      </c>
      <c r="J94">
        <v>3.8380000590000001</v>
      </c>
      <c r="K94">
        <v>5.0441498759999996</v>
      </c>
      <c r="L94">
        <v>3.027164</v>
      </c>
    </row>
    <row r="95" spans="1:12">
      <c r="A95" s="25">
        <v>46106</v>
      </c>
      <c r="B95">
        <v>4.3321714399999998</v>
      </c>
      <c r="C95">
        <v>3.6528272629999998</v>
      </c>
      <c r="D95">
        <v>2.262</v>
      </c>
      <c r="E95">
        <v>4.8387813570000002</v>
      </c>
      <c r="F95" s="25">
        <v>46106</v>
      </c>
      <c r="G95">
        <v>3.46543</v>
      </c>
      <c r="H95">
        <v>3.8364720000000001</v>
      </c>
      <c r="I95">
        <v>3.4859437940000002</v>
      </c>
      <c r="J95">
        <v>3.8550000190000002</v>
      </c>
      <c r="K95">
        <v>4.956449986</v>
      </c>
      <c r="L95">
        <v>2.9576090000000002</v>
      </c>
    </row>
    <row r="96" spans="1:12">
      <c r="A96" s="25">
        <v>46107</v>
      </c>
      <c r="B96">
        <v>4.4116506580000001</v>
      </c>
      <c r="C96">
        <v>3.8016519550000001</v>
      </c>
      <c r="D96">
        <v>2.2829999999999999</v>
      </c>
      <c r="E96">
        <v>4.9739351269999998</v>
      </c>
      <c r="F96" s="25">
        <v>46107</v>
      </c>
      <c r="G96">
        <v>3.605836</v>
      </c>
      <c r="H96">
        <v>4.0220710000000004</v>
      </c>
      <c r="I96">
        <v>3.5581712720000001</v>
      </c>
      <c r="J96">
        <v>3.8499999049999998</v>
      </c>
      <c r="K96">
        <v>5.0109996800000003</v>
      </c>
      <c r="L96">
        <v>3.0736889999999999</v>
      </c>
    </row>
    <row r="97" spans="1:12">
      <c r="A97" s="25">
        <v>46108</v>
      </c>
      <c r="B97">
        <v>4.4277915950000004</v>
      </c>
      <c r="C97">
        <v>3.834204674</v>
      </c>
      <c r="D97">
        <v>2.3879999999999999</v>
      </c>
      <c r="E97">
        <v>4.9744281770000001</v>
      </c>
      <c r="F97" s="25">
        <v>46108</v>
      </c>
      <c r="G97">
        <v>3.6286870000000002</v>
      </c>
      <c r="H97">
        <v>4.0492670000000004</v>
      </c>
      <c r="I97">
        <v>3.579909325</v>
      </c>
      <c r="J97">
        <v>3.9249999519999998</v>
      </c>
      <c r="K97">
        <v>5.0968499180000002</v>
      </c>
      <c r="L97">
        <v>3.094398</v>
      </c>
    </row>
    <row r="98" spans="1:12">
      <c r="A98" s="25">
        <v>46111</v>
      </c>
      <c r="B98">
        <v>4.3482189179999997</v>
      </c>
      <c r="C98">
        <v>3.7686605449999999</v>
      </c>
      <c r="D98">
        <v>2.3740000000000001</v>
      </c>
      <c r="E98">
        <v>4.9345598219999998</v>
      </c>
      <c r="F98" s="25">
        <v>46111</v>
      </c>
      <c r="G98">
        <v>3.5640779999999999</v>
      </c>
      <c r="H98">
        <v>3.98455</v>
      </c>
      <c r="I98">
        <v>3.5081024169999999</v>
      </c>
      <c r="J98">
        <v>3.8949999809999998</v>
      </c>
      <c r="K98">
        <v>5.0694994930000004</v>
      </c>
      <c r="L98">
        <v>3.0350246429999999</v>
      </c>
    </row>
    <row r="99" spans="1:12">
      <c r="A99" s="25">
        <v>46112</v>
      </c>
      <c r="B99">
        <v>4.3165702819999998</v>
      </c>
      <c r="C99">
        <v>3.7230005259999999</v>
      </c>
      <c r="D99">
        <v>2.3540000000000001</v>
      </c>
      <c r="E99">
        <v>4.9159326549999998</v>
      </c>
      <c r="F99" s="25">
        <v>46112</v>
      </c>
      <c r="G99">
        <v>3.5053700000000001</v>
      </c>
      <c r="H99">
        <v>3.9072979999999999</v>
      </c>
      <c r="I99">
        <v>3.4729814530000001</v>
      </c>
      <c r="J99">
        <v>3.8770000929999999</v>
      </c>
      <c r="K99">
        <v>4.9736499790000002</v>
      </c>
      <c r="L99">
        <v>3.00396347</v>
      </c>
    </row>
    <row r="100" spans="1:12">
      <c r="A100" s="25">
        <v>46113</v>
      </c>
      <c r="B100">
        <v>4.3185844419999997</v>
      </c>
      <c r="C100">
        <v>3.6720685959999999</v>
      </c>
      <c r="D100">
        <v>2.3099989999999999</v>
      </c>
      <c r="E100">
        <v>4.8296566009999999</v>
      </c>
      <c r="F100" s="25">
        <v>46113</v>
      </c>
      <c r="G100">
        <v>3.4621849999999998</v>
      </c>
      <c r="H100">
        <v>3.8306879999999999</v>
      </c>
      <c r="I100">
        <v>3.5011253359999999</v>
      </c>
      <c r="J100">
        <v>3.6900000570000002</v>
      </c>
      <c r="K100">
        <v>4.9089498520000001</v>
      </c>
      <c r="L100">
        <v>2.9855194090000001</v>
      </c>
    </row>
    <row r="101" spans="1:12">
      <c r="A101" s="25">
        <v>46114</v>
      </c>
      <c r="B101">
        <v>4.3048772810000004</v>
      </c>
      <c r="C101">
        <v>3.6802845</v>
      </c>
      <c r="D101">
        <v>2.3860000000000001</v>
      </c>
      <c r="E101">
        <v>4.8326587679999999</v>
      </c>
      <c r="F101" s="25">
        <v>46114</v>
      </c>
      <c r="G101">
        <v>3.4742999999999999</v>
      </c>
      <c r="H101">
        <v>3.8516789999999999</v>
      </c>
      <c r="I101">
        <v>3.4822397230000002</v>
      </c>
      <c r="J101">
        <v>3.795000076</v>
      </c>
      <c r="K101">
        <v>5.0379495619999997</v>
      </c>
      <c r="L101">
        <v>2.9922275539999998</v>
      </c>
    </row>
    <row r="102" spans="1:12">
      <c r="A102" s="25">
        <v>46115</v>
      </c>
      <c r="B102">
        <v>4.3405799869999999</v>
      </c>
      <c r="C102">
        <v>3.680295944</v>
      </c>
      <c r="D102">
        <v>2.3860000000000001</v>
      </c>
      <c r="E102">
        <v>4.8326148990000002</v>
      </c>
      <c r="F102" s="25">
        <v>46115</v>
      </c>
      <c r="G102">
        <v>3.4743059999999999</v>
      </c>
      <c r="H102">
        <v>3.8517049999999999</v>
      </c>
      <c r="I102">
        <v>3.4822082519999999</v>
      </c>
      <c r="J102">
        <v>3.7439999579999999</v>
      </c>
      <c r="K102">
        <v>5.0379495619999997</v>
      </c>
      <c r="L102">
        <v>2.9922370909999998</v>
      </c>
    </row>
    <row r="103" spans="1:12">
      <c r="A103" s="25">
        <v>46118</v>
      </c>
      <c r="B103">
        <v>4.3306598660000004</v>
      </c>
      <c r="C103" t="e">
        <v>#N/A</v>
      </c>
      <c r="D103">
        <v>2.4220000000000002</v>
      </c>
      <c r="E103" t="e">
        <v>#N/A</v>
      </c>
      <c r="F103" s="25">
        <v>46118</v>
      </c>
      <c r="G103" t="e">
        <v>#N/A</v>
      </c>
      <c r="H103" t="e">
        <v>#N/A</v>
      </c>
      <c r="I103">
        <v>3.4664640430000002</v>
      </c>
      <c r="J103">
        <v>3.7249999049999998</v>
      </c>
      <c r="K103" t="e">
        <v>#N/A</v>
      </c>
      <c r="L103" t="e">
        <v>#N/A</v>
      </c>
    </row>
    <row r="104" spans="1:12">
      <c r="A104" s="25">
        <v>46119</v>
      </c>
      <c r="B104">
        <v>4.2930803299999996</v>
      </c>
      <c r="C104">
        <v>3.7802629470000002</v>
      </c>
      <c r="D104">
        <v>2.4159989999999998</v>
      </c>
      <c r="E104">
        <v>4.9037351610000002</v>
      </c>
      <c r="F104" s="25">
        <v>46119</v>
      </c>
      <c r="G104">
        <v>3.5668419999999998</v>
      </c>
      <c r="H104">
        <v>3.9661019999999998</v>
      </c>
      <c r="I104">
        <v>3.4812355039999998</v>
      </c>
      <c r="J104">
        <v>3.755000114</v>
      </c>
      <c r="K104">
        <v>4.9842500689999998</v>
      </c>
      <c r="L104">
        <v>3.0844707489999998</v>
      </c>
    </row>
    <row r="105" spans="1:12">
      <c r="A105" s="25">
        <v>46120</v>
      </c>
      <c r="B105">
        <v>4.2911357880000001</v>
      </c>
      <c r="C105">
        <v>3.5802698140000002</v>
      </c>
      <c r="D105">
        <v>2.367</v>
      </c>
      <c r="E105">
        <v>4.7107439040000001</v>
      </c>
      <c r="F105" s="25">
        <v>46120</v>
      </c>
      <c r="G105">
        <v>3.3836279999999999</v>
      </c>
      <c r="H105">
        <v>3.706264</v>
      </c>
      <c r="I105">
        <v>3.4618129729999998</v>
      </c>
      <c r="J105">
        <v>3.6319999690000002</v>
      </c>
      <c r="K105">
        <v>4.8566498759999996</v>
      </c>
      <c r="L105">
        <v>2.9444150919999998</v>
      </c>
    </row>
    <row r="106" spans="1:12">
      <c r="A106" s="25">
        <v>46121</v>
      </c>
      <c r="B106">
        <v>4.2753639220000004</v>
      </c>
      <c r="C106">
        <v>3.6132879259999999</v>
      </c>
      <c r="D106">
        <v>2.3919990000000002</v>
      </c>
      <c r="E106">
        <v>4.74938488</v>
      </c>
      <c r="F106" s="25">
        <v>46121</v>
      </c>
      <c r="G106">
        <v>3.4280740000000001</v>
      </c>
      <c r="H106">
        <v>3.736923</v>
      </c>
      <c r="I106">
        <v>3.4512157440000002</v>
      </c>
      <c r="J106">
        <v>3.6549999710000001</v>
      </c>
      <c r="K106">
        <v>4.910849571</v>
      </c>
      <c r="L106">
        <v>2.9881401059999999</v>
      </c>
    </row>
    <row r="107" spans="1:12">
      <c r="A107" s="25">
        <v>46122</v>
      </c>
      <c r="B107">
        <v>4.3170118329999996</v>
      </c>
      <c r="C107">
        <v>3.7071466449999999</v>
      </c>
      <c r="D107">
        <v>2.4380000000000002</v>
      </c>
      <c r="E107">
        <v>4.8354101180000004</v>
      </c>
      <c r="F107" s="25">
        <v>46122</v>
      </c>
      <c r="G107">
        <v>3.5161709999999999</v>
      </c>
      <c r="H107">
        <v>3.843019</v>
      </c>
      <c r="I107">
        <v>3.4690532680000001</v>
      </c>
      <c r="J107">
        <v>3.6849999429999998</v>
      </c>
      <c r="K107">
        <v>4.9670996670000003</v>
      </c>
      <c r="L107">
        <v>3.0579719540000001</v>
      </c>
    </row>
    <row r="108" spans="1:12">
      <c r="A108" s="25">
        <v>46125</v>
      </c>
      <c r="B108">
        <v>4.2932739260000004</v>
      </c>
      <c r="C108">
        <v>3.7493057250000001</v>
      </c>
      <c r="D108">
        <v>2.4670000000000001</v>
      </c>
      <c r="E108">
        <v>4.8689994810000004</v>
      </c>
      <c r="F108" s="25">
        <v>46125</v>
      </c>
      <c r="G108">
        <v>3.5523530000000001</v>
      </c>
      <c r="H108">
        <v>3.8862079999999999</v>
      </c>
      <c r="I108">
        <v>3.4651041029999998</v>
      </c>
      <c r="J108">
        <v>3.7119998930000002</v>
      </c>
      <c r="K108">
        <v>5.0168499950000003</v>
      </c>
      <c r="L108">
        <v>3.0922203060000002</v>
      </c>
    </row>
    <row r="109" spans="1:12">
      <c r="A109" s="25">
        <v>46126</v>
      </c>
      <c r="B109">
        <v>4.2478752139999996</v>
      </c>
      <c r="C109">
        <v>3.6578578949999998</v>
      </c>
      <c r="D109">
        <v>2.417999</v>
      </c>
      <c r="E109">
        <v>4.7806339260000001</v>
      </c>
      <c r="F109" s="25">
        <v>46126</v>
      </c>
      <c r="G109">
        <v>3.468207</v>
      </c>
      <c r="H109">
        <v>3.7791190000000001</v>
      </c>
      <c r="I109">
        <v>3.428783417</v>
      </c>
      <c r="J109">
        <v>3.65199995</v>
      </c>
      <c r="K109">
        <v>4.9494500160000001</v>
      </c>
      <c r="L109">
        <v>3.0236940379999999</v>
      </c>
    </row>
    <row r="110" spans="1:12">
      <c r="A110" s="25">
        <v>46127</v>
      </c>
      <c r="B110">
        <v>4.2834453579999998</v>
      </c>
      <c r="C110">
        <v>3.6817016599999999</v>
      </c>
      <c r="D110">
        <v>2.4229989999999999</v>
      </c>
      <c r="E110">
        <v>4.8142156600000003</v>
      </c>
      <c r="F110" s="25">
        <v>46127</v>
      </c>
      <c r="G110">
        <v>3.4959190000000002</v>
      </c>
      <c r="H110">
        <v>3.81671</v>
      </c>
      <c r="I110">
        <v>3.4721736910000001</v>
      </c>
      <c r="J110">
        <v>3.6549999710000001</v>
      </c>
      <c r="K110">
        <v>4.930549622</v>
      </c>
      <c r="L110">
        <v>3.0434551239999998</v>
      </c>
    </row>
    <row r="111" spans="1:12">
      <c r="A111" s="25">
        <v>46128</v>
      </c>
      <c r="B111">
        <v>4.3112125399999996</v>
      </c>
      <c r="C111">
        <v>3.6737956999999999</v>
      </c>
      <c r="D111">
        <v>2.4140000000000001</v>
      </c>
      <c r="E111">
        <v>4.8472652439999999</v>
      </c>
      <c r="F111" s="25">
        <v>46128</v>
      </c>
      <c r="G111">
        <v>3.4820069999999999</v>
      </c>
      <c r="H111">
        <v>3.8047759999999999</v>
      </c>
      <c r="I111">
        <v>3.5030546189999998</v>
      </c>
      <c r="J111">
        <v>3.6719999310000002</v>
      </c>
      <c r="K111">
        <v>4.9551000600000004</v>
      </c>
      <c r="L111">
        <v>3.0320053100000002</v>
      </c>
    </row>
    <row r="112" spans="1:12">
      <c r="A112" s="25">
        <v>46129</v>
      </c>
      <c r="B112">
        <v>4.2479915620000002</v>
      </c>
      <c r="C112">
        <v>3.579794884</v>
      </c>
      <c r="D112">
        <v>2.4239999999999999</v>
      </c>
      <c r="E112">
        <v>4.7619066239999999</v>
      </c>
      <c r="F112" s="25">
        <v>46129</v>
      </c>
      <c r="G112">
        <v>3.3888959999999999</v>
      </c>
      <c r="H112">
        <v>3.6783649999999999</v>
      </c>
      <c r="I112">
        <v>3.4477758409999999</v>
      </c>
      <c r="J112">
        <v>3.7149999139999998</v>
      </c>
      <c r="K112">
        <v>4.9947495460000004</v>
      </c>
      <c r="L112">
        <v>2.959602356</v>
      </c>
    </row>
    <row r="113" spans="1:12">
      <c r="A113" s="25">
        <v>46132</v>
      </c>
      <c r="B113">
        <v>4.2509756090000002</v>
      </c>
      <c r="C113">
        <v>3.6120252609999999</v>
      </c>
      <c r="D113">
        <v>2.3940000000000001</v>
      </c>
      <c r="E113">
        <v>4.8339166640000002</v>
      </c>
      <c r="F113" s="25">
        <v>46132</v>
      </c>
      <c r="G113">
        <v>3.4215089999999999</v>
      </c>
      <c r="H113">
        <v>3.722394</v>
      </c>
      <c r="I113">
        <v>3.4387044910000002</v>
      </c>
      <c r="J113">
        <v>3.6849999429999998</v>
      </c>
      <c r="K113">
        <v>4.9370994570000004</v>
      </c>
      <c r="L113">
        <v>2.9800796510000001</v>
      </c>
    </row>
    <row r="114" spans="1:12">
      <c r="A114" s="25">
        <v>46133</v>
      </c>
      <c r="B114">
        <v>4.2915601729999997</v>
      </c>
      <c r="C114">
        <v>3.6564598080000001</v>
      </c>
      <c r="D114">
        <v>2.3969990000000001</v>
      </c>
      <c r="E114">
        <v>4.8843688959999998</v>
      </c>
      <c r="F114" s="25">
        <v>46133</v>
      </c>
      <c r="G114">
        <v>3.463435</v>
      </c>
      <c r="H114">
        <v>3.7741440000000002</v>
      </c>
      <c r="I114">
        <v>3.4833555220000001</v>
      </c>
      <c r="J114">
        <v>3.6559998990000002</v>
      </c>
      <c r="K114">
        <v>4.9070496559999999</v>
      </c>
      <c r="L114">
        <v>3.0037698750000001</v>
      </c>
    </row>
    <row r="115" spans="1:12">
      <c r="A115" s="25">
        <v>46134</v>
      </c>
      <c r="B115">
        <v>4.302505493</v>
      </c>
      <c r="C115">
        <v>3.6580467219999999</v>
      </c>
      <c r="D115">
        <v>2.4039990000000002</v>
      </c>
      <c r="E115">
        <v>4.9094820019999998</v>
      </c>
      <c r="F115" s="25">
        <v>46134</v>
      </c>
      <c r="G115">
        <v>3.4661659999999999</v>
      </c>
      <c r="H115">
        <v>3.78261</v>
      </c>
      <c r="I115">
        <v>3.4913883210000001</v>
      </c>
      <c r="J115">
        <v>3.6970000270000001</v>
      </c>
      <c r="K115">
        <v>4.9568996429999999</v>
      </c>
      <c r="L115">
        <v>3.0083923339999998</v>
      </c>
    </row>
    <row r="116" spans="1:12">
      <c r="A116" s="25">
        <v>46135</v>
      </c>
      <c r="B116">
        <v>4.3244028090000004</v>
      </c>
      <c r="C116">
        <v>3.6642999650000001</v>
      </c>
      <c r="D116">
        <v>2.4289999999999998</v>
      </c>
      <c r="E116">
        <v>4.9385938640000004</v>
      </c>
      <c r="F116" s="25">
        <v>46135</v>
      </c>
      <c r="G116">
        <v>3.4705050000000002</v>
      </c>
      <c r="H116">
        <v>3.795776</v>
      </c>
      <c r="I116">
        <v>3.4842977519999998</v>
      </c>
      <c r="J116">
        <v>3.7869999409999999</v>
      </c>
      <c r="K116">
        <v>5.0004997250000001</v>
      </c>
      <c r="L116">
        <v>3.0089740749999998</v>
      </c>
    </row>
    <row r="117" spans="1:12">
      <c r="A117" s="25">
        <v>46136</v>
      </c>
      <c r="B117">
        <v>4.300666809</v>
      </c>
      <c r="C117">
        <v>3.6388759610000001</v>
      </c>
      <c r="D117">
        <v>2.4389989999999999</v>
      </c>
      <c r="E117">
        <v>4.9118223189999997</v>
      </c>
      <c r="F117" s="25">
        <v>46136</v>
      </c>
      <c r="G117">
        <v>3.4443739999999998</v>
      </c>
      <c r="H117">
        <v>3.777358</v>
      </c>
      <c r="I117">
        <v>3.4619855880000001</v>
      </c>
      <c r="J117">
        <v>3.8150000570000002</v>
      </c>
      <c r="K117">
        <v>4.9761500359999999</v>
      </c>
      <c r="L117">
        <v>2.9936656949999998</v>
      </c>
    </row>
    <row r="118" spans="1:12">
      <c r="A118" s="25">
        <v>46139</v>
      </c>
      <c r="B118">
        <v>4.3395156860000004</v>
      </c>
      <c r="C118">
        <v>3.6863689420000001</v>
      </c>
      <c r="D118">
        <v>2.4769990000000002</v>
      </c>
      <c r="E118">
        <v>4.9720897669999999</v>
      </c>
      <c r="F118" s="25">
        <v>46139</v>
      </c>
      <c r="G118">
        <v>3.4908700000000001</v>
      </c>
      <c r="H118">
        <v>3.8291110000000002</v>
      </c>
      <c r="I118">
        <v>3.502148628</v>
      </c>
      <c r="J118">
        <v>3.8199999330000001</v>
      </c>
      <c r="K118">
        <v>4.9760999679999998</v>
      </c>
      <c r="L118">
        <v>3.0330934520000001</v>
      </c>
    </row>
    <row r="119" spans="1:12">
      <c r="A119" s="25">
        <v>46140</v>
      </c>
      <c r="B119">
        <v>4.3455467219999999</v>
      </c>
      <c r="C119">
        <v>3.7239151000000001</v>
      </c>
      <c r="D119">
        <v>2.4769990000000002</v>
      </c>
      <c r="E119">
        <v>5.0059309010000002</v>
      </c>
      <c r="F119" s="25">
        <v>46140</v>
      </c>
      <c r="G119">
        <v>3.528886</v>
      </c>
      <c r="H119">
        <v>3.88639</v>
      </c>
      <c r="I119">
        <v>3.5119962689999999</v>
      </c>
      <c r="J119">
        <v>3.8650000100000002</v>
      </c>
      <c r="K119">
        <v>5.0254497530000002</v>
      </c>
      <c r="L119">
        <v>3.06724453</v>
      </c>
    </row>
    <row r="120" spans="1:12">
      <c r="A120" s="25">
        <v>46141</v>
      </c>
      <c r="B120">
        <v>4.4297609329999998</v>
      </c>
      <c r="C120">
        <v>3.7783222200000002</v>
      </c>
      <c r="D120">
        <v>2.4769990000000002</v>
      </c>
      <c r="E120">
        <v>5.0713224410000004</v>
      </c>
      <c r="F120" s="25">
        <v>46141</v>
      </c>
      <c r="G120">
        <v>3.5825469999999999</v>
      </c>
      <c r="H120">
        <v>3.956696</v>
      </c>
      <c r="I120">
        <v>3.606445312</v>
      </c>
      <c r="J120">
        <v>3.8420000079999999</v>
      </c>
      <c r="K120">
        <v>4.9950494770000002</v>
      </c>
      <c r="L120">
        <v>3.1100883480000001</v>
      </c>
    </row>
    <row r="121" spans="1:12">
      <c r="A121" s="25">
        <v>46142</v>
      </c>
      <c r="B121">
        <v>4.3706274030000003</v>
      </c>
      <c r="C121">
        <v>3.6934633259999998</v>
      </c>
      <c r="D121">
        <v>2.5249999999999999</v>
      </c>
      <c r="E121">
        <v>5.0119037630000003</v>
      </c>
      <c r="F121" s="25">
        <v>46142</v>
      </c>
      <c r="G121">
        <v>3.4983070000000001</v>
      </c>
      <c r="H121">
        <v>3.8585690000000001</v>
      </c>
      <c r="I121">
        <v>3.542841911</v>
      </c>
      <c r="J121">
        <v>3.914999962</v>
      </c>
      <c r="K121">
        <v>5.0641994480000001</v>
      </c>
      <c r="L121">
        <v>3.0365333560000001</v>
      </c>
    </row>
    <row r="122" spans="1:12">
      <c r="A122" s="25">
        <v>46143</v>
      </c>
      <c r="B122">
        <v>4.3697881699999996</v>
      </c>
      <c r="C122">
        <v>3.693431854</v>
      </c>
      <c r="D122">
        <v>2.5179999999999998</v>
      </c>
      <c r="E122">
        <v>4.9637203220000004</v>
      </c>
      <c r="F122" s="25">
        <v>46143</v>
      </c>
      <c r="G122">
        <v>3.4982760000000002</v>
      </c>
      <c r="H122">
        <v>3.8585590000000001</v>
      </c>
      <c r="I122">
        <v>3.527304649</v>
      </c>
      <c r="J122" t="e">
        <v>#N/A</v>
      </c>
      <c r="K122">
        <v>5.0192995070000004</v>
      </c>
      <c r="L122">
        <v>3.0365352630000002</v>
      </c>
    </row>
    <row r="123" spans="1:12">
      <c r="A123" s="25">
        <v>46146</v>
      </c>
      <c r="B123">
        <v>4.4381580349999998</v>
      </c>
      <c r="C123">
        <v>3.7597732540000002</v>
      </c>
      <c r="D123">
        <v>2.5179999999999998</v>
      </c>
      <c r="E123">
        <v>4.9636554720000001</v>
      </c>
      <c r="F123" s="25">
        <v>46146</v>
      </c>
      <c r="G123">
        <v>3.5664920000000002</v>
      </c>
      <c r="H123">
        <v>3.9375870000000002</v>
      </c>
      <c r="I123">
        <v>3.6134691239999999</v>
      </c>
      <c r="J123">
        <v>3.933000088</v>
      </c>
      <c r="K123">
        <v>4.9802498819999999</v>
      </c>
      <c r="L123">
        <v>3.0870323179999999</v>
      </c>
    </row>
    <row r="124" spans="1:12">
      <c r="A124" s="25">
        <v>46147</v>
      </c>
      <c r="B124">
        <v>4.424123764</v>
      </c>
      <c r="C124">
        <v>3.7116193769999999</v>
      </c>
      <c r="D124">
        <v>2.5179999999999998</v>
      </c>
      <c r="E124">
        <v>5.0612297059999998</v>
      </c>
      <c r="F124" s="25">
        <v>46147</v>
      </c>
      <c r="G124">
        <v>3.5136980000000002</v>
      </c>
      <c r="H124">
        <v>3.8621279999999998</v>
      </c>
      <c r="I124">
        <v>3.6084365840000001</v>
      </c>
      <c r="J124" t="e">
        <v>#N/A</v>
      </c>
      <c r="K124">
        <v>4.9709997179999998</v>
      </c>
      <c r="L124">
        <v>3.0630798339999998</v>
      </c>
    </row>
    <row r="125" spans="1:12">
      <c r="A125" s="25">
        <v>46148</v>
      </c>
      <c r="B125">
        <v>4.3489322660000003</v>
      </c>
      <c r="C125">
        <v>3.622670174</v>
      </c>
      <c r="D125">
        <v>2.5179999999999998</v>
      </c>
      <c r="E125">
        <v>4.9392728809999999</v>
      </c>
      <c r="F125" s="25">
        <v>46148</v>
      </c>
      <c r="G125">
        <v>3.4249200000000002</v>
      </c>
      <c r="H125">
        <v>3.7447780000000002</v>
      </c>
      <c r="I125">
        <v>3.5116386409999998</v>
      </c>
      <c r="J125">
        <v>3.9349999429999998</v>
      </c>
      <c r="K125">
        <v>4.9523997309999999</v>
      </c>
      <c r="L125">
        <v>2.9994850159999999</v>
      </c>
    </row>
    <row r="126" spans="1:12">
      <c r="A126" s="25">
        <v>46149</v>
      </c>
      <c r="B126">
        <v>4.3860511779999998</v>
      </c>
      <c r="C126">
        <v>3.6270952219999999</v>
      </c>
      <c r="D126">
        <v>2.4790000000000001</v>
      </c>
      <c r="E126">
        <v>4.9477109910000001</v>
      </c>
      <c r="F126" s="25">
        <v>46149</v>
      </c>
      <c r="G126">
        <v>3.4287139999999998</v>
      </c>
      <c r="H126">
        <v>3.7397559999999999</v>
      </c>
      <c r="I126">
        <v>3.5240144729999998</v>
      </c>
      <c r="J126">
        <v>3.8759999280000001</v>
      </c>
      <c r="K126">
        <v>4.922049522</v>
      </c>
      <c r="L126">
        <v>3.0028581619999999</v>
      </c>
    </row>
    <row r="127" spans="1:12">
      <c r="A127" s="25">
        <v>46150</v>
      </c>
      <c r="B127">
        <v>4.3541374209999999</v>
      </c>
      <c r="C127">
        <v>3.6231832499999999</v>
      </c>
      <c r="D127">
        <v>2.4830000000000001</v>
      </c>
      <c r="E127">
        <v>4.9120864869999998</v>
      </c>
      <c r="F127" s="25">
        <v>46150</v>
      </c>
      <c r="G127">
        <v>3.4213879999999999</v>
      </c>
      <c r="H127">
        <v>3.7268270000000001</v>
      </c>
      <c r="I127">
        <v>3.4723634720000001</v>
      </c>
      <c r="J127">
        <v>3.904000044</v>
      </c>
      <c r="K127">
        <v>4.9880499839999999</v>
      </c>
      <c r="L127">
        <v>3.0051040649999998</v>
      </c>
    </row>
    <row r="128" spans="1:12">
      <c r="A128" s="25">
        <v>46153</v>
      </c>
      <c r="B128">
        <v>4.4134435649999997</v>
      </c>
      <c r="C128">
        <v>3.65987587</v>
      </c>
      <c r="D128">
        <v>2.5230000000000001</v>
      </c>
      <c r="E128">
        <v>4.9978771210000001</v>
      </c>
      <c r="F128" s="25">
        <v>46153</v>
      </c>
      <c r="G128">
        <v>3.4592339999999999</v>
      </c>
      <c r="H128">
        <v>3.7752020000000002</v>
      </c>
      <c r="I128">
        <v>3.5381336210000001</v>
      </c>
      <c r="J128">
        <v>3.9500000480000002</v>
      </c>
      <c r="K128">
        <v>4.9922995569999999</v>
      </c>
      <c r="L128">
        <v>3.0401315690000001</v>
      </c>
    </row>
    <row r="129" spans="1:12">
      <c r="A129" s="25">
        <v>46154</v>
      </c>
      <c r="B129">
        <v>4.4629840850000004</v>
      </c>
      <c r="C129">
        <v>3.7393016819999998</v>
      </c>
      <c r="D129">
        <v>2.5590000000000002</v>
      </c>
      <c r="E129">
        <v>5.10115242</v>
      </c>
      <c r="F129" s="25">
        <v>46154</v>
      </c>
      <c r="G129">
        <v>3.5337580000000002</v>
      </c>
      <c r="H129">
        <v>3.8677980000000001</v>
      </c>
      <c r="I129">
        <v>3.5928840640000002</v>
      </c>
      <c r="J129">
        <v>4.0650000569999998</v>
      </c>
      <c r="K129">
        <v>5.0319499969999999</v>
      </c>
      <c r="L129">
        <v>3.1009330749999999</v>
      </c>
    </row>
    <row r="130" spans="1:12">
      <c r="A130" s="25">
        <v>46155</v>
      </c>
      <c r="B130">
        <v>4.4688234329999998</v>
      </c>
      <c r="C130">
        <v>3.729166985</v>
      </c>
      <c r="D130">
        <v>2.5899990000000002</v>
      </c>
      <c r="E130">
        <v>5.0646495820000004</v>
      </c>
      <c r="F130" s="25">
        <v>46155</v>
      </c>
      <c r="G130">
        <v>3.5201699999999998</v>
      </c>
      <c r="H130">
        <v>3.8452700000000002</v>
      </c>
      <c r="I130">
        <v>3.5728645320000001</v>
      </c>
      <c r="J130">
        <v>4.0549998279999997</v>
      </c>
      <c r="K130">
        <v>5.0617995259999997</v>
      </c>
      <c r="L130">
        <v>3.100432396</v>
      </c>
    </row>
    <row r="131" spans="1:12">
      <c r="A131" s="25">
        <v>46156</v>
      </c>
      <c r="B131">
        <v>4.4815940860000003</v>
      </c>
      <c r="C131">
        <v>3.6627798079999998</v>
      </c>
      <c r="D131">
        <v>2.6339999999999999</v>
      </c>
      <c r="E131">
        <v>4.9938201900000001</v>
      </c>
      <c r="F131" s="25">
        <v>46156</v>
      </c>
      <c r="G131">
        <v>3.4574340000000001</v>
      </c>
      <c r="H131">
        <v>3.7741030000000002</v>
      </c>
      <c r="I131">
        <v>3.5678672790000001</v>
      </c>
      <c r="J131">
        <v>4.0869998929999998</v>
      </c>
      <c r="K131">
        <v>5.0176997180000003</v>
      </c>
      <c r="L131">
        <v>3.0428609849999999</v>
      </c>
    </row>
    <row r="132" spans="1:12">
      <c r="A132" s="25">
        <v>46157</v>
      </c>
      <c r="B132">
        <v>4.5933504100000002</v>
      </c>
      <c r="C132">
        <v>3.8195934299999998</v>
      </c>
      <c r="D132">
        <v>2.7170000000000001</v>
      </c>
      <c r="E132">
        <v>5.1719951630000001</v>
      </c>
      <c r="F132" s="25">
        <v>46157</v>
      </c>
      <c r="G132">
        <v>3.6041850000000002</v>
      </c>
      <c r="H132">
        <v>3.9465669999999999</v>
      </c>
      <c r="I132">
        <v>3.6911630629999999</v>
      </c>
      <c r="J132">
        <v>4.2199997900000001</v>
      </c>
      <c r="K132">
        <v>5.0722999570000002</v>
      </c>
      <c r="L132">
        <v>3.1671237950000002</v>
      </c>
    </row>
    <row r="133" spans="1:12">
      <c r="A133" s="25">
        <v>46160</v>
      </c>
      <c r="B133">
        <v>4.5874166489999997</v>
      </c>
      <c r="C133">
        <v>3.778808594</v>
      </c>
      <c r="D133">
        <v>2.7360000000000002</v>
      </c>
      <c r="E133">
        <v>5.0984134670000003</v>
      </c>
      <c r="F133" s="25">
        <v>46160</v>
      </c>
      <c r="G133">
        <v>3.571574</v>
      </c>
      <c r="H133">
        <v>3.906285</v>
      </c>
      <c r="I133">
        <v>3.6911430360000002</v>
      </c>
      <c r="J133">
        <v>4.2470002170000001</v>
      </c>
      <c r="K133">
        <v>5.1136498450000003</v>
      </c>
      <c r="L133">
        <v>3.1478776929999999</v>
      </c>
    </row>
    <row r="134" spans="1:12">
      <c r="A134" s="25">
        <v>46161</v>
      </c>
      <c r="B134">
        <v>4.6013717651367188</v>
      </c>
      <c r="C134" t="e">
        <v>#N/A</v>
      </c>
      <c r="D134">
        <v>2.7849998474121094</v>
      </c>
      <c r="E134" t="e">
        <v>#N/A</v>
      </c>
      <c r="F134" s="25">
        <v>46161</v>
      </c>
      <c r="G134" t="e">
        <v>#N/A</v>
      </c>
      <c r="H134" t="e">
        <v>#N/A</v>
      </c>
      <c r="I134" t="e">
        <v>#N/A</v>
      </c>
      <c r="J134" t="e">
        <v>#N/A</v>
      </c>
      <c r="K134">
        <v>5.0460495948791504</v>
      </c>
      <c r="L134" t="e">
        <v>#N/A</v>
      </c>
    </row>
  </sheetData>
  <phoneticPr fontId="9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133"/>
  <sheetViews>
    <sheetView workbookViewId="0">
      <pane xSplit="1" ySplit="5" topLeftCell="B120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13" customWidth="1"/>
    <col min="2" max="2" width="18" bestFit="1" customWidth="1"/>
    <col min="3" max="6" width="14.7109375" bestFit="1" customWidth="1"/>
    <col min="7" max="7" width="14.28515625" bestFit="1" customWidth="1"/>
    <col min="8" max="11" width="14.7109375" bestFit="1" customWidth="1"/>
    <col min="12" max="12" width="14.28515625" bestFit="1" customWidth="1"/>
    <col min="13" max="13" width="14.7109375" bestFit="1" customWidth="1"/>
    <col min="14" max="15" width="14.85546875" bestFit="1" customWidth="1"/>
    <col min="16" max="16" width="14.42578125" bestFit="1" customWidth="1"/>
    <col min="17" max="17" width="14.7109375" bestFit="1" customWidth="1"/>
    <col min="18" max="18" width="14.85546875" bestFit="1" customWidth="1"/>
    <col min="19" max="23" width="14.7109375" bestFit="1" customWidth="1"/>
    <col min="24" max="25" width="14.85546875" bestFit="1" customWidth="1"/>
    <col min="26" max="27" width="14.7109375" bestFit="1" customWidth="1"/>
    <col min="28" max="28" width="14" bestFit="1" customWidth="1"/>
    <col min="29" max="29" width="13.5703125" bestFit="1" customWidth="1"/>
    <col min="30" max="30" width="14" bestFit="1" customWidth="1"/>
    <col min="31" max="31" width="14.28515625" bestFit="1" customWidth="1"/>
    <col min="32" max="32" width="14.42578125" bestFit="1" customWidth="1"/>
    <col min="33" max="34" width="15.28515625" bestFit="1" customWidth="1"/>
    <col min="35" max="37" width="14.28515625" bestFit="1" customWidth="1"/>
    <col min="38" max="38" width="15" bestFit="1" customWidth="1"/>
    <col min="39" max="39" width="15.28515625" bestFit="1" customWidth="1"/>
    <col min="40" max="42" width="15" bestFit="1" customWidth="1"/>
    <col min="43" max="43" width="14.85546875" bestFit="1" customWidth="1"/>
    <col min="44" max="44" width="14.7109375" bestFit="1" customWidth="1"/>
    <col min="45" max="45" width="15.28515625" bestFit="1" customWidth="1"/>
    <col min="46" max="48" width="14.7109375" bestFit="1" customWidth="1"/>
    <col min="49" max="49" width="14.28515625" bestFit="1" customWidth="1"/>
    <col min="50" max="50" width="14.85546875" bestFit="1" customWidth="1"/>
    <col min="51" max="51" width="15" bestFit="1" customWidth="1"/>
    <col min="52" max="54" width="14.7109375" bestFit="1" customWidth="1"/>
    <col min="55" max="55" width="14.42578125" bestFit="1" customWidth="1"/>
    <col min="56" max="56" width="14.85546875" bestFit="1" customWidth="1"/>
    <col min="57" max="57" width="14.42578125" bestFit="1" customWidth="1"/>
    <col min="58" max="58" width="14.7109375" bestFit="1" customWidth="1"/>
    <col min="59" max="59" width="14.42578125" bestFit="1" customWidth="1"/>
    <col min="60" max="60" width="15.140625" bestFit="1" customWidth="1"/>
    <col min="61" max="61" width="15.5703125" bestFit="1" customWidth="1"/>
    <col min="62" max="62" width="14.7109375" bestFit="1" customWidth="1"/>
    <col min="63" max="63" width="14.85546875" bestFit="1" customWidth="1"/>
    <col min="64" max="66" width="14.7109375" bestFit="1" customWidth="1"/>
    <col min="67" max="67" width="14.42578125" bestFit="1" customWidth="1"/>
  </cols>
  <sheetData>
    <row r="1" spans="1:67" ht="18">
      <c r="A1" s="1" t="s">
        <v>160</v>
      </c>
      <c r="F1" s="26" t="s">
        <v>186</v>
      </c>
      <c r="G1" s="27"/>
      <c r="H1" s="27"/>
    </row>
    <row r="2" spans="1:67">
      <c r="A2" s="2" t="s">
        <v>161</v>
      </c>
    </row>
    <row r="3" spans="1:67">
      <c r="B3" s="6" t="s">
        <v>187</v>
      </c>
      <c r="C3" s="6" t="s">
        <v>162</v>
      </c>
      <c r="D3" s="6" t="s">
        <v>163</v>
      </c>
      <c r="E3" s="6" t="s">
        <v>56</v>
      </c>
      <c r="F3" s="6" t="s">
        <v>60</v>
      </c>
      <c r="G3" s="6" t="s">
        <v>63</v>
      </c>
      <c r="H3" s="6" t="s">
        <v>65</v>
      </c>
      <c r="I3" s="6" t="s">
        <v>164</v>
      </c>
      <c r="J3" s="6" t="s">
        <v>67</v>
      </c>
      <c r="K3" s="6" t="s">
        <v>39</v>
      </c>
      <c r="L3" s="6" t="s">
        <v>48</v>
      </c>
      <c r="M3" s="6" t="s">
        <v>42</v>
      </c>
      <c r="N3" s="6" t="s">
        <v>69</v>
      </c>
      <c r="O3" s="6" t="s">
        <v>46</v>
      </c>
      <c r="P3" s="6" t="s">
        <v>58</v>
      </c>
    </row>
    <row r="4" spans="1:67">
      <c r="A4" s="7" t="s">
        <v>110</v>
      </c>
      <c r="B4" s="8" t="str">
        <f>B5</f>
        <v>CTOTAED Index</v>
      </c>
      <c r="C4" s="8" t="str">
        <f t="shared" ref="C4:BN4" si="0">C5</f>
        <v>CTOTAOA Index</v>
      </c>
      <c r="D4" s="8" t="str">
        <f t="shared" si="0"/>
        <v>CTOTARS Index</v>
      </c>
      <c r="E4" s="8" t="str">
        <f t="shared" si="0"/>
        <v>CTOTAUD Index</v>
      </c>
      <c r="F4" s="8" t="str">
        <f t="shared" si="0"/>
        <v>CTOTBHD Index</v>
      </c>
      <c r="G4" s="8" t="str">
        <f t="shared" si="0"/>
        <v>CTOTBRL Index</v>
      </c>
      <c r="H4" s="8" t="str">
        <f t="shared" si="0"/>
        <v>CTOTBYN Index</v>
      </c>
      <c r="I4" s="8" t="str">
        <f t="shared" si="0"/>
        <v>CTOTCAD Index</v>
      </c>
      <c r="J4" s="8" t="str">
        <f t="shared" si="0"/>
        <v>CTOTCDF Index</v>
      </c>
      <c r="K4" s="8" t="str">
        <f t="shared" si="0"/>
        <v>CTOTCHF Index</v>
      </c>
      <c r="L4" s="8" t="str">
        <f t="shared" si="0"/>
        <v>CTOTCLP Index</v>
      </c>
      <c r="M4" s="8" t="str">
        <f t="shared" si="0"/>
        <v>CTOTCNY Index</v>
      </c>
      <c r="N4" s="8" t="str">
        <f t="shared" si="0"/>
        <v>CTOTCOP Index</v>
      </c>
      <c r="O4" s="8" t="str">
        <f t="shared" si="0"/>
        <v>CTOTCRC Index</v>
      </c>
      <c r="P4" s="8" t="str">
        <f t="shared" si="0"/>
        <v>CTOTCZK Index</v>
      </c>
      <c r="Q4" s="8" t="str">
        <f t="shared" si="0"/>
        <v>CTOTDKK Index</v>
      </c>
      <c r="R4" s="8" t="str">
        <f t="shared" si="0"/>
        <v>CTOTDOP Index</v>
      </c>
      <c r="S4" s="8" t="str">
        <f t="shared" si="0"/>
        <v>CTOTDZD Index</v>
      </c>
      <c r="T4" s="8" t="str">
        <f t="shared" si="0"/>
        <v>CTOTECS Index</v>
      </c>
      <c r="U4" s="8" t="str">
        <f t="shared" si="0"/>
        <v>CTOTEGP Index</v>
      </c>
      <c r="V4" s="8" t="str">
        <f t="shared" si="0"/>
        <v>CTOTEUR Index</v>
      </c>
      <c r="W4" s="8" t="str">
        <f t="shared" si="0"/>
        <v>CTOTGBP Index</v>
      </c>
      <c r="X4" s="8" t="str">
        <f t="shared" si="0"/>
        <v>CTOTGHS Index</v>
      </c>
      <c r="Y4" s="8" t="str">
        <f t="shared" si="0"/>
        <v>CTOTGTQ Index</v>
      </c>
      <c r="Z4" s="8" t="str">
        <f t="shared" si="0"/>
        <v>CTOTHKD Index</v>
      </c>
      <c r="AA4" s="8" t="str">
        <f t="shared" si="0"/>
        <v>CTOTHUF Index</v>
      </c>
      <c r="AB4" s="8" t="str">
        <f t="shared" si="0"/>
        <v>CTOTIDR Index</v>
      </c>
      <c r="AC4" s="8" t="str">
        <f t="shared" si="0"/>
        <v>CTOTILS Index</v>
      </c>
      <c r="AD4" s="8" t="str">
        <f t="shared" si="0"/>
        <v>CTOTINR Index</v>
      </c>
      <c r="AE4" s="8" t="str">
        <f t="shared" si="0"/>
        <v>CTOTJPY Index</v>
      </c>
      <c r="AF4" s="8" t="str">
        <f t="shared" si="0"/>
        <v>CTOTKES Index</v>
      </c>
      <c r="AG4" s="8" t="str">
        <f t="shared" si="0"/>
        <v>CTOTKRW Index</v>
      </c>
      <c r="AH4" s="8" t="str">
        <f t="shared" si="0"/>
        <v>CTOTKWD Index</v>
      </c>
      <c r="AI4" s="8" t="str">
        <f t="shared" si="0"/>
        <v>CTOTKZT Index</v>
      </c>
      <c r="AJ4" s="8" t="str">
        <f t="shared" si="0"/>
        <v>CTOTLBP Index</v>
      </c>
      <c r="AK4" s="8" t="str">
        <f t="shared" si="0"/>
        <v>CTOTLKR Index</v>
      </c>
      <c r="AL4" s="8" t="str">
        <f t="shared" si="0"/>
        <v>CTOTMAD Index</v>
      </c>
      <c r="AM4" s="8" t="str">
        <f t="shared" si="0"/>
        <v>CTOTMMK Index</v>
      </c>
      <c r="AN4" s="8" t="str">
        <f t="shared" si="0"/>
        <v>CTOTMXN Index</v>
      </c>
      <c r="AO4" s="8" t="str">
        <f t="shared" si="0"/>
        <v>CTOTMYR Index</v>
      </c>
      <c r="AP4" s="8" t="str">
        <f t="shared" si="0"/>
        <v>CTOTNGN Index</v>
      </c>
      <c r="AQ4" s="8" t="str">
        <f t="shared" si="0"/>
        <v>CTOTNOK Index</v>
      </c>
      <c r="AR4" s="8" t="str">
        <f t="shared" si="0"/>
        <v>CTOTNZD Index</v>
      </c>
      <c r="AS4" s="8" t="str">
        <f t="shared" si="0"/>
        <v>CTOTOMR Index</v>
      </c>
      <c r="AT4" s="8" t="str">
        <f t="shared" si="0"/>
        <v>CTOTPEN Index</v>
      </c>
      <c r="AU4" s="8" t="str">
        <f t="shared" si="0"/>
        <v>CTOTPHP Index</v>
      </c>
      <c r="AV4" s="8" t="str">
        <f t="shared" si="0"/>
        <v>CTOTPKR Index</v>
      </c>
      <c r="AW4" s="8" t="str">
        <f t="shared" si="0"/>
        <v>CTOTPLN Index</v>
      </c>
      <c r="AX4" s="8" t="str">
        <f t="shared" si="0"/>
        <v>CTOTQAR Index</v>
      </c>
      <c r="AY4" s="8" t="str">
        <f t="shared" si="0"/>
        <v>CTOTRON Index</v>
      </c>
      <c r="AZ4" s="8" t="str">
        <f t="shared" si="0"/>
        <v>CTOTRSD Index</v>
      </c>
      <c r="BA4" s="8" t="str">
        <f t="shared" si="0"/>
        <v>CTOTRUB Index</v>
      </c>
      <c r="BB4" s="8" t="str">
        <f t="shared" si="0"/>
        <v>CTOTSAR Index</v>
      </c>
      <c r="BC4" s="8" t="str">
        <f t="shared" si="0"/>
        <v>CTOTSEK Index</v>
      </c>
      <c r="BD4" s="8" t="str">
        <f t="shared" si="0"/>
        <v>CTOTSGD Index</v>
      </c>
      <c r="BE4" s="8" t="str">
        <f t="shared" si="0"/>
        <v>CTOTTHB Index</v>
      </c>
      <c r="BF4" s="8" t="str">
        <f t="shared" si="0"/>
        <v>CTOTTND Index</v>
      </c>
      <c r="BG4" s="8" t="str">
        <f t="shared" si="0"/>
        <v>CTOTTRY Index</v>
      </c>
      <c r="BH4" s="8" t="str">
        <f t="shared" si="0"/>
        <v>CTOTTWD Index</v>
      </c>
      <c r="BI4" s="8" t="str">
        <f t="shared" si="0"/>
        <v>CTOTTZS Index</v>
      </c>
      <c r="BJ4" s="8" t="str">
        <f t="shared" si="0"/>
        <v>CTOTUAH Index</v>
      </c>
      <c r="BK4" s="8" t="str">
        <f t="shared" si="0"/>
        <v>CTOTUGX Index</v>
      </c>
      <c r="BL4" s="8" t="str">
        <f t="shared" si="0"/>
        <v>CTOTUSD Index</v>
      </c>
      <c r="BM4" s="8" t="str">
        <f t="shared" si="0"/>
        <v>CTOTUYU Index</v>
      </c>
      <c r="BN4" s="8" t="str">
        <f t="shared" si="0"/>
        <v>CTOTVND Index</v>
      </c>
      <c r="BO4" s="8" t="str">
        <f t="shared" ref="BO4" si="1">BO5</f>
        <v>CTOTZAR Index</v>
      </c>
    </row>
    <row r="5" spans="1:67">
      <c r="A5" s="9" t="s">
        <v>111</v>
      </c>
      <c r="B5" s="10" t="s">
        <v>188</v>
      </c>
      <c r="C5" s="10" t="s">
        <v>189</v>
      </c>
      <c r="D5" s="10" t="s">
        <v>190</v>
      </c>
      <c r="E5" s="10" t="s">
        <v>191</v>
      </c>
      <c r="F5" s="10" t="s">
        <v>192</v>
      </c>
      <c r="G5" s="10" t="s">
        <v>193</v>
      </c>
      <c r="H5" s="10" t="s">
        <v>194</v>
      </c>
      <c r="I5" s="10" t="s">
        <v>195</v>
      </c>
      <c r="J5" s="10" t="s">
        <v>196</v>
      </c>
      <c r="K5" s="10" t="s">
        <v>197</v>
      </c>
      <c r="L5" s="10" t="s">
        <v>198</v>
      </c>
      <c r="M5" s="10" t="s">
        <v>199</v>
      </c>
      <c r="N5" s="10" t="s">
        <v>200</v>
      </c>
      <c r="O5" s="10" t="s">
        <v>201</v>
      </c>
      <c r="P5" s="10" t="s">
        <v>202</v>
      </c>
      <c r="Q5" s="10" t="s">
        <v>203</v>
      </c>
      <c r="R5" s="10" t="s">
        <v>204</v>
      </c>
      <c r="S5" s="10" t="s">
        <v>205</v>
      </c>
      <c r="T5" s="10" t="s">
        <v>206</v>
      </c>
      <c r="U5" s="10" t="s">
        <v>207</v>
      </c>
      <c r="V5" s="10" t="s">
        <v>208</v>
      </c>
      <c r="W5" s="10" t="s">
        <v>209</v>
      </c>
      <c r="X5" s="10" t="s">
        <v>210</v>
      </c>
      <c r="Y5" s="10" t="s">
        <v>211</v>
      </c>
      <c r="Z5" s="10" t="s">
        <v>212</v>
      </c>
      <c r="AA5" s="10" t="s">
        <v>213</v>
      </c>
      <c r="AB5" s="10" t="s">
        <v>214</v>
      </c>
      <c r="AC5" s="10" t="s">
        <v>215</v>
      </c>
      <c r="AD5" s="10" t="s">
        <v>216</v>
      </c>
      <c r="AE5" s="10" t="s">
        <v>217</v>
      </c>
      <c r="AF5" s="10" t="s">
        <v>218</v>
      </c>
      <c r="AG5" s="10" t="s">
        <v>219</v>
      </c>
      <c r="AH5" s="10" t="s">
        <v>220</v>
      </c>
      <c r="AI5" s="10" t="s">
        <v>221</v>
      </c>
      <c r="AJ5" s="10" t="s">
        <v>222</v>
      </c>
      <c r="AK5" s="10" t="s">
        <v>223</v>
      </c>
      <c r="AL5" s="10" t="s">
        <v>224</v>
      </c>
      <c r="AM5" s="10" t="s">
        <v>225</v>
      </c>
      <c r="AN5" s="10" t="s">
        <v>226</v>
      </c>
      <c r="AO5" s="10" t="s">
        <v>227</v>
      </c>
      <c r="AP5" s="10" t="s">
        <v>228</v>
      </c>
      <c r="AQ5" s="10" t="s">
        <v>229</v>
      </c>
      <c r="AR5" s="10" t="s">
        <v>230</v>
      </c>
      <c r="AS5" s="10" t="s">
        <v>231</v>
      </c>
      <c r="AT5" s="10" t="s">
        <v>232</v>
      </c>
      <c r="AU5" s="10" t="s">
        <v>233</v>
      </c>
      <c r="AV5" s="10" t="s">
        <v>234</v>
      </c>
      <c r="AW5" s="10" t="s">
        <v>235</v>
      </c>
      <c r="AX5" s="10" t="s">
        <v>236</v>
      </c>
      <c r="AY5" s="10" t="s">
        <v>237</v>
      </c>
      <c r="AZ5" s="10" t="s">
        <v>238</v>
      </c>
      <c r="BA5" s="10" t="s">
        <v>239</v>
      </c>
      <c r="BB5" s="10" t="s">
        <v>240</v>
      </c>
      <c r="BC5" s="10" t="s">
        <v>241</v>
      </c>
      <c r="BD5" s="10" t="s">
        <v>242</v>
      </c>
      <c r="BE5" s="10" t="s">
        <v>243</v>
      </c>
      <c r="BF5" s="10" t="s">
        <v>244</v>
      </c>
      <c r="BG5" s="10" t="s">
        <v>245</v>
      </c>
      <c r="BH5" s="10" t="s">
        <v>246</v>
      </c>
      <c r="BI5" s="10" t="s">
        <v>247</v>
      </c>
      <c r="BJ5" s="10" t="s">
        <v>248</v>
      </c>
      <c r="BK5" s="10" t="s">
        <v>249</v>
      </c>
      <c r="BL5" s="10" t="s">
        <v>250</v>
      </c>
      <c r="BM5" s="10" t="s">
        <v>251</v>
      </c>
      <c r="BN5" s="10" t="s">
        <v>252</v>
      </c>
      <c r="BO5" s="10" t="s">
        <v>253</v>
      </c>
    </row>
    <row r="6" spans="1:67">
      <c r="A6" s="17">
        <f>_xll.BQL($B$5:$BO$5, "dropna(px_last(dates=range(-180D, 1D), per=D))", "showids", "false", "showheaders", "false", "showallcols", "false","cols=67;rows=128")</f>
        <v>45981</v>
      </c>
      <c r="B6" s="15">
        <v>39.729999999999997</v>
      </c>
      <c r="C6" s="15">
        <v>-56.28</v>
      </c>
      <c r="D6" s="15">
        <v>27.48</v>
      </c>
      <c r="E6" s="15">
        <v>40.64</v>
      </c>
      <c r="F6" s="15">
        <v>11.65</v>
      </c>
      <c r="G6" s="15">
        <v>8.51</v>
      </c>
      <c r="H6" s="15">
        <v>-1.26</v>
      </c>
      <c r="I6" s="15">
        <v>9.65</v>
      </c>
      <c r="J6" s="15">
        <v>39.85</v>
      </c>
      <c r="K6" s="15">
        <v>-10.92</v>
      </c>
      <c r="L6" s="15">
        <v>52.53</v>
      </c>
      <c r="M6" s="15">
        <v>-23.53</v>
      </c>
      <c r="N6" s="15">
        <v>66.849999999999994</v>
      </c>
      <c r="O6" s="15">
        <v>0.85</v>
      </c>
      <c r="P6" s="15">
        <v>-8.0500000000000007</v>
      </c>
      <c r="Q6">
        <v>1.05</v>
      </c>
      <c r="R6">
        <v>29.76</v>
      </c>
      <c r="S6">
        <v>59.75</v>
      </c>
      <c r="T6">
        <v>59.49</v>
      </c>
      <c r="U6">
        <v>61.59</v>
      </c>
      <c r="V6">
        <v>-6.42</v>
      </c>
      <c r="W6">
        <v>8.19</v>
      </c>
      <c r="X6">
        <v>130.99</v>
      </c>
      <c r="Y6">
        <v>14.81</v>
      </c>
      <c r="Z6">
        <v>5.52</v>
      </c>
      <c r="AA6">
        <v>-4.6399999999999997</v>
      </c>
      <c r="AB6">
        <v>1.77</v>
      </c>
      <c r="AC6">
        <v>-20.309999999999999</v>
      </c>
      <c r="AD6">
        <v>-41.76</v>
      </c>
      <c r="AE6">
        <v>-21.02</v>
      </c>
      <c r="AF6">
        <v>-1.47</v>
      </c>
      <c r="AG6">
        <v>-25.21</v>
      </c>
      <c r="AH6">
        <v>57.85</v>
      </c>
      <c r="AI6">
        <v>69.069999999999993</v>
      </c>
      <c r="AJ6">
        <v>12.29</v>
      </c>
      <c r="AK6">
        <v>-22.77</v>
      </c>
      <c r="AL6">
        <v>-16.89</v>
      </c>
      <c r="AM6">
        <v>0.67</v>
      </c>
      <c r="AN6">
        <v>11.9</v>
      </c>
      <c r="AO6">
        <v>-8.01</v>
      </c>
      <c r="AP6">
        <v>-47.07</v>
      </c>
      <c r="AQ6">
        <v>71.239999999999995</v>
      </c>
      <c r="AR6">
        <v>12.21</v>
      </c>
      <c r="AS6">
        <v>45.6</v>
      </c>
      <c r="AT6">
        <v>93.91</v>
      </c>
      <c r="AU6">
        <v>-7.5</v>
      </c>
      <c r="AV6">
        <v>-30.47</v>
      </c>
      <c r="AW6">
        <v>-4.8899999999999997</v>
      </c>
      <c r="AX6">
        <v>64.48</v>
      </c>
      <c r="AY6">
        <v>2.48</v>
      </c>
      <c r="AZ6">
        <v>0.08</v>
      </c>
      <c r="BA6">
        <v>51.45</v>
      </c>
      <c r="BB6">
        <v>51.18</v>
      </c>
      <c r="BC6">
        <v>-6.89</v>
      </c>
      <c r="BD6">
        <v>-6.65</v>
      </c>
      <c r="BE6">
        <v>-18.239999999999998</v>
      </c>
      <c r="BF6">
        <v>-12.71</v>
      </c>
      <c r="BG6">
        <v>-29.4</v>
      </c>
      <c r="BH6">
        <v>-13.26</v>
      </c>
      <c r="BI6">
        <v>88.63</v>
      </c>
      <c r="BJ6">
        <v>-14.88</v>
      </c>
      <c r="BK6">
        <v>84.98</v>
      </c>
      <c r="BL6">
        <v>-12.36</v>
      </c>
      <c r="BM6">
        <v>22.73</v>
      </c>
      <c r="BN6">
        <v>15.74</v>
      </c>
      <c r="BO6">
        <v>37.369999999999997</v>
      </c>
    </row>
    <row r="7" spans="1:67">
      <c r="A7" s="18">
        <v>45982</v>
      </c>
      <c r="B7" s="15">
        <v>39.299999999999997</v>
      </c>
      <c r="C7" s="15">
        <v>-57.04</v>
      </c>
      <c r="D7" s="15">
        <v>27.19</v>
      </c>
      <c r="E7" s="15">
        <v>40.159999999999997</v>
      </c>
      <c r="F7" s="15">
        <v>11.28</v>
      </c>
      <c r="G7" s="15">
        <v>8.31</v>
      </c>
      <c r="H7" s="15">
        <v>-1.31</v>
      </c>
      <c r="I7" s="15">
        <v>9.5</v>
      </c>
      <c r="J7" s="15">
        <v>39.83</v>
      </c>
      <c r="K7" s="15">
        <v>-10.94</v>
      </c>
      <c r="L7" s="15">
        <v>52.68</v>
      </c>
      <c r="M7" s="15">
        <v>-23.38</v>
      </c>
      <c r="N7" s="15">
        <v>66.459999999999994</v>
      </c>
      <c r="O7" s="15">
        <v>0.8</v>
      </c>
      <c r="P7" s="15">
        <v>-7.97</v>
      </c>
      <c r="Q7">
        <v>1.22</v>
      </c>
      <c r="R7">
        <v>29.87</v>
      </c>
      <c r="S7">
        <v>58.56</v>
      </c>
      <c r="T7">
        <v>59.2</v>
      </c>
      <c r="U7">
        <v>61.58</v>
      </c>
      <c r="V7">
        <v>-6.3</v>
      </c>
      <c r="W7">
        <v>8.31</v>
      </c>
      <c r="X7">
        <v>131.36000000000001</v>
      </c>
      <c r="Y7">
        <v>14.54</v>
      </c>
      <c r="Z7">
        <v>5.51</v>
      </c>
      <c r="AA7">
        <v>-4.54</v>
      </c>
      <c r="AB7">
        <v>1.58</v>
      </c>
      <c r="AC7">
        <v>-20.350000000000001</v>
      </c>
      <c r="AD7">
        <v>-41.53</v>
      </c>
      <c r="AE7">
        <v>-20.63</v>
      </c>
      <c r="AF7">
        <v>-1.49</v>
      </c>
      <c r="AG7">
        <v>-24.85</v>
      </c>
      <c r="AH7">
        <v>57.06</v>
      </c>
      <c r="AI7">
        <v>68.55</v>
      </c>
      <c r="AJ7">
        <v>12.32</v>
      </c>
      <c r="AK7">
        <v>-22.6</v>
      </c>
      <c r="AL7">
        <v>-16.79</v>
      </c>
      <c r="AM7">
        <v>0.42</v>
      </c>
      <c r="AN7">
        <v>11.83</v>
      </c>
      <c r="AO7">
        <v>-8.1199999999999992</v>
      </c>
      <c r="AP7">
        <v>-47.44</v>
      </c>
      <c r="AQ7">
        <v>69.91</v>
      </c>
      <c r="AR7">
        <v>12.26</v>
      </c>
      <c r="AS7">
        <v>45.12</v>
      </c>
      <c r="AT7">
        <v>94.17</v>
      </c>
      <c r="AU7">
        <v>-7.37</v>
      </c>
      <c r="AV7">
        <v>-29.73</v>
      </c>
      <c r="AW7">
        <v>-4.8</v>
      </c>
      <c r="AX7">
        <v>62.35</v>
      </c>
      <c r="AY7">
        <v>2.4900000000000002</v>
      </c>
      <c r="AZ7">
        <v>0.26</v>
      </c>
      <c r="BA7">
        <v>50.84</v>
      </c>
      <c r="BB7">
        <v>51.04</v>
      </c>
      <c r="BC7">
        <v>-6.82</v>
      </c>
      <c r="BD7">
        <v>-6.57</v>
      </c>
      <c r="BE7">
        <v>-17.989999999999998</v>
      </c>
      <c r="BF7">
        <v>-12.52</v>
      </c>
      <c r="BG7">
        <v>-29.45</v>
      </c>
      <c r="BH7">
        <v>-13.09</v>
      </c>
      <c r="BI7">
        <v>88.97</v>
      </c>
      <c r="BJ7">
        <v>-14.84</v>
      </c>
      <c r="BK7">
        <v>84.69</v>
      </c>
      <c r="BL7">
        <v>-12.29</v>
      </c>
      <c r="BM7">
        <v>22.83</v>
      </c>
      <c r="BN7">
        <v>15.8</v>
      </c>
      <c r="BO7">
        <v>37.520000000000003</v>
      </c>
    </row>
    <row r="8" spans="1:67">
      <c r="A8" s="17">
        <v>45985</v>
      </c>
      <c r="B8" s="15">
        <v>38.79</v>
      </c>
      <c r="C8" s="15">
        <v>-56.07</v>
      </c>
      <c r="D8" s="15">
        <v>27.25</v>
      </c>
      <c r="E8" s="15">
        <v>40.11</v>
      </c>
      <c r="F8" s="15">
        <v>11.97</v>
      </c>
      <c r="G8" s="15">
        <v>8.5500000000000007</v>
      </c>
      <c r="H8" s="15">
        <v>-1.49</v>
      </c>
      <c r="I8" s="15">
        <v>9.66</v>
      </c>
      <c r="J8" s="15">
        <v>38.71</v>
      </c>
      <c r="K8" s="15">
        <v>-10.93</v>
      </c>
      <c r="L8" s="15">
        <v>52.71</v>
      </c>
      <c r="M8" s="15">
        <v>-23.54</v>
      </c>
      <c r="N8" s="15">
        <v>66.900000000000006</v>
      </c>
      <c r="O8" s="15">
        <v>0.82</v>
      </c>
      <c r="P8" s="15">
        <v>-7.98</v>
      </c>
      <c r="Q8">
        <v>1.28</v>
      </c>
      <c r="R8">
        <v>29.97</v>
      </c>
      <c r="S8">
        <v>57.59</v>
      </c>
      <c r="T8">
        <v>59.53</v>
      </c>
      <c r="U8">
        <v>61.55</v>
      </c>
      <c r="V8">
        <v>-6.32</v>
      </c>
      <c r="W8">
        <v>8.3800000000000008</v>
      </c>
      <c r="X8">
        <v>131.27000000000001</v>
      </c>
      <c r="Y8">
        <v>14.73</v>
      </c>
      <c r="Z8">
        <v>5.51</v>
      </c>
      <c r="AA8">
        <v>-4.54</v>
      </c>
      <c r="AB8">
        <v>1.37</v>
      </c>
      <c r="AC8">
        <v>-20.170000000000002</v>
      </c>
      <c r="AD8">
        <v>-41.72</v>
      </c>
      <c r="AE8">
        <v>-20.66</v>
      </c>
      <c r="AF8">
        <v>-1.3</v>
      </c>
      <c r="AG8">
        <v>-24.91</v>
      </c>
      <c r="AH8">
        <v>55.86</v>
      </c>
      <c r="AI8">
        <v>69.209999999999994</v>
      </c>
      <c r="AJ8">
        <v>12.39</v>
      </c>
      <c r="AK8">
        <v>-22.66</v>
      </c>
      <c r="AL8">
        <v>-16.78</v>
      </c>
      <c r="AM8">
        <v>0.03</v>
      </c>
      <c r="AN8">
        <v>11.87</v>
      </c>
      <c r="AO8">
        <v>-8.26</v>
      </c>
      <c r="AP8">
        <v>-49.38</v>
      </c>
      <c r="AQ8">
        <v>69.900000000000006</v>
      </c>
      <c r="AR8">
        <v>11.87</v>
      </c>
      <c r="AS8">
        <v>44.18</v>
      </c>
      <c r="AT8">
        <v>94.17</v>
      </c>
      <c r="AU8">
        <v>-7.37</v>
      </c>
      <c r="AV8">
        <v>-29.46</v>
      </c>
      <c r="AW8">
        <v>-4.88</v>
      </c>
      <c r="AX8">
        <v>61.31</v>
      </c>
      <c r="AY8">
        <v>2.4300000000000002</v>
      </c>
      <c r="AZ8">
        <v>0.22</v>
      </c>
      <c r="BA8">
        <v>51.27</v>
      </c>
      <c r="BB8">
        <v>50.36</v>
      </c>
      <c r="BC8">
        <v>-6.86</v>
      </c>
      <c r="BD8">
        <v>-6.62</v>
      </c>
      <c r="BE8">
        <v>-18.100000000000001</v>
      </c>
      <c r="BF8">
        <v>-12.5</v>
      </c>
      <c r="BG8">
        <v>-29.5</v>
      </c>
      <c r="BH8">
        <v>-13.12</v>
      </c>
      <c r="BI8">
        <v>89.25</v>
      </c>
      <c r="BJ8">
        <v>-14.86</v>
      </c>
      <c r="BK8">
        <v>85.17</v>
      </c>
      <c r="BL8">
        <v>-12.35</v>
      </c>
      <c r="BM8">
        <v>21.78</v>
      </c>
      <c r="BN8">
        <v>15.81</v>
      </c>
      <c r="BO8">
        <v>37.799999999999997</v>
      </c>
    </row>
    <row r="9" spans="1:67">
      <c r="A9" s="18">
        <v>45986</v>
      </c>
      <c r="B9" s="15">
        <v>38.58</v>
      </c>
      <c r="C9" s="15">
        <v>-56.84</v>
      </c>
      <c r="D9" s="15">
        <v>27.46</v>
      </c>
      <c r="E9" s="15">
        <v>40.200000000000003</v>
      </c>
      <c r="F9" s="15">
        <v>11.77</v>
      </c>
      <c r="G9" s="15">
        <v>8.83</v>
      </c>
      <c r="H9" s="15">
        <v>-1.53</v>
      </c>
      <c r="I9" s="15">
        <v>9.41</v>
      </c>
      <c r="J9" s="15">
        <v>39.020000000000003</v>
      </c>
      <c r="K9" s="15">
        <v>-10.94</v>
      </c>
      <c r="L9" s="15">
        <v>53.19</v>
      </c>
      <c r="M9" s="15">
        <v>-23.53</v>
      </c>
      <c r="N9" s="15">
        <v>67.069999999999993</v>
      </c>
      <c r="O9" s="15">
        <v>0.96</v>
      </c>
      <c r="P9" s="15">
        <v>-7.96</v>
      </c>
      <c r="Q9">
        <v>1.31</v>
      </c>
      <c r="R9">
        <v>30.45</v>
      </c>
      <c r="S9">
        <v>57.17</v>
      </c>
      <c r="T9">
        <v>59.38</v>
      </c>
      <c r="U9">
        <v>61.66</v>
      </c>
      <c r="V9">
        <v>-6.28</v>
      </c>
      <c r="W9">
        <v>8.5</v>
      </c>
      <c r="X9">
        <v>132.13999999999999</v>
      </c>
      <c r="Y9">
        <v>15.04</v>
      </c>
      <c r="Z9">
        <v>5.48</v>
      </c>
      <c r="AA9">
        <v>-4.5</v>
      </c>
      <c r="AB9">
        <v>1.37</v>
      </c>
      <c r="AC9">
        <v>-20.25</v>
      </c>
      <c r="AD9">
        <v>-41.71</v>
      </c>
      <c r="AE9">
        <v>-20.420000000000002</v>
      </c>
      <c r="AF9">
        <v>-1.08</v>
      </c>
      <c r="AG9">
        <v>-24.71</v>
      </c>
      <c r="AH9">
        <v>55.54</v>
      </c>
      <c r="AI9">
        <v>68.709999999999994</v>
      </c>
      <c r="AJ9">
        <v>12.38</v>
      </c>
      <c r="AK9">
        <v>-22.59</v>
      </c>
      <c r="AL9">
        <v>-16.78</v>
      </c>
      <c r="AM9">
        <v>-0.11</v>
      </c>
      <c r="AN9">
        <v>11.95</v>
      </c>
      <c r="AO9">
        <v>-8.3000000000000007</v>
      </c>
      <c r="AP9">
        <v>-49.11</v>
      </c>
      <c r="AQ9">
        <v>69.39</v>
      </c>
      <c r="AR9">
        <v>11.84</v>
      </c>
      <c r="AS9">
        <v>44.15</v>
      </c>
      <c r="AT9">
        <v>94.55</v>
      </c>
      <c r="AU9">
        <v>-7.26</v>
      </c>
      <c r="AV9">
        <v>-29.48</v>
      </c>
      <c r="AW9">
        <v>-4.82</v>
      </c>
      <c r="AX9">
        <v>60.86</v>
      </c>
      <c r="AY9">
        <v>2.4700000000000002</v>
      </c>
      <c r="AZ9">
        <v>0.32</v>
      </c>
      <c r="BA9">
        <v>50.94</v>
      </c>
      <c r="BB9">
        <v>50.31</v>
      </c>
      <c r="BC9">
        <v>-6.79</v>
      </c>
      <c r="BD9">
        <v>-6.57</v>
      </c>
      <c r="BE9">
        <v>-18.05</v>
      </c>
      <c r="BF9">
        <v>-12.5</v>
      </c>
      <c r="BG9">
        <v>-29.65</v>
      </c>
      <c r="BH9">
        <v>-13.03</v>
      </c>
      <c r="BI9">
        <v>90.04</v>
      </c>
      <c r="BJ9">
        <v>-14.62</v>
      </c>
      <c r="BK9">
        <v>85.79</v>
      </c>
      <c r="BL9">
        <v>-12.52</v>
      </c>
      <c r="BM9">
        <v>21.96</v>
      </c>
      <c r="BN9">
        <v>15.84</v>
      </c>
      <c r="BO9">
        <v>38.17</v>
      </c>
    </row>
    <row r="10" spans="1:67">
      <c r="A10" s="17">
        <v>45987</v>
      </c>
      <c r="B10" s="15">
        <v>38.76</v>
      </c>
      <c r="C10" s="15">
        <v>-56.51</v>
      </c>
      <c r="D10" s="15">
        <v>27.95</v>
      </c>
      <c r="E10" s="15">
        <v>40.479999999999997</v>
      </c>
      <c r="F10" s="15">
        <v>12.58</v>
      </c>
      <c r="G10" s="15">
        <v>9.2899999999999991</v>
      </c>
      <c r="H10" s="15">
        <v>-1.32</v>
      </c>
      <c r="I10" s="15">
        <v>9.39</v>
      </c>
      <c r="J10" s="15">
        <v>39.880000000000003</v>
      </c>
      <c r="K10" s="15">
        <v>-10.99</v>
      </c>
      <c r="L10" s="15">
        <v>54.28</v>
      </c>
      <c r="M10" s="15">
        <v>-23.83</v>
      </c>
      <c r="N10" s="15">
        <v>67.040000000000006</v>
      </c>
      <c r="O10" s="15">
        <v>0.94</v>
      </c>
      <c r="P10" s="15">
        <v>-8.01</v>
      </c>
      <c r="Q10">
        <v>1.29</v>
      </c>
      <c r="R10">
        <v>30.65</v>
      </c>
      <c r="S10">
        <v>57.42</v>
      </c>
      <c r="T10">
        <v>59.87</v>
      </c>
      <c r="U10">
        <v>61.68</v>
      </c>
      <c r="V10">
        <v>-6.31</v>
      </c>
      <c r="W10">
        <v>8.58</v>
      </c>
      <c r="X10">
        <v>132.25</v>
      </c>
      <c r="Y10">
        <v>14.96</v>
      </c>
      <c r="Z10">
        <v>5.49</v>
      </c>
      <c r="AA10">
        <v>-4.55</v>
      </c>
      <c r="AB10">
        <v>1.19</v>
      </c>
      <c r="AC10">
        <v>-20.27</v>
      </c>
      <c r="AD10">
        <v>-41.82</v>
      </c>
      <c r="AE10">
        <v>-20.54</v>
      </c>
      <c r="AF10">
        <v>-1.26</v>
      </c>
      <c r="AG10">
        <v>-24.86</v>
      </c>
      <c r="AH10">
        <v>56.12</v>
      </c>
      <c r="AI10">
        <v>69.34</v>
      </c>
      <c r="AJ10">
        <v>12.19</v>
      </c>
      <c r="AK10">
        <v>-22.71</v>
      </c>
      <c r="AL10">
        <v>-16.82</v>
      </c>
      <c r="AM10">
        <v>-0.16</v>
      </c>
      <c r="AN10">
        <v>12.06</v>
      </c>
      <c r="AO10">
        <v>-8.39</v>
      </c>
      <c r="AP10">
        <v>-48.99</v>
      </c>
      <c r="AQ10">
        <v>69.849999999999994</v>
      </c>
      <c r="AR10">
        <v>12.03</v>
      </c>
      <c r="AS10">
        <v>44.27</v>
      </c>
      <c r="AT10">
        <v>95.11</v>
      </c>
      <c r="AU10">
        <v>-7.27</v>
      </c>
      <c r="AV10">
        <v>-29.46</v>
      </c>
      <c r="AW10">
        <v>-4.8499999999999996</v>
      </c>
      <c r="AX10">
        <v>61.01</v>
      </c>
      <c r="AY10">
        <v>2.48</v>
      </c>
      <c r="AZ10">
        <v>0.39</v>
      </c>
      <c r="BA10">
        <v>51.48</v>
      </c>
      <c r="BB10">
        <v>50.35</v>
      </c>
      <c r="BC10">
        <v>-6.78</v>
      </c>
      <c r="BD10">
        <v>-6.61</v>
      </c>
      <c r="BE10">
        <v>-18.16</v>
      </c>
      <c r="BF10">
        <v>-12.63</v>
      </c>
      <c r="BG10">
        <v>-29.74</v>
      </c>
      <c r="BH10">
        <v>-13.11</v>
      </c>
      <c r="BI10">
        <v>90.29</v>
      </c>
      <c r="BJ10">
        <v>-14.33</v>
      </c>
      <c r="BK10">
        <v>85.66</v>
      </c>
      <c r="BL10">
        <v>-12.66</v>
      </c>
      <c r="BM10">
        <v>22.87</v>
      </c>
      <c r="BN10">
        <v>15.75</v>
      </c>
      <c r="BO10">
        <v>38.409999999999997</v>
      </c>
    </row>
    <row r="11" spans="1:67">
      <c r="A11" s="18">
        <v>45988</v>
      </c>
      <c r="B11" s="15">
        <v>38.64</v>
      </c>
      <c r="C11" s="15">
        <v>-56.12</v>
      </c>
      <c r="D11" s="15">
        <v>27.94</v>
      </c>
      <c r="E11" s="15">
        <v>40.36</v>
      </c>
      <c r="F11" s="15">
        <v>12.62</v>
      </c>
      <c r="G11" s="15">
        <v>9.33</v>
      </c>
      <c r="H11" s="15">
        <v>-1.34</v>
      </c>
      <c r="I11" s="15">
        <v>9.52</v>
      </c>
      <c r="J11" s="15">
        <v>39.700000000000003</v>
      </c>
      <c r="K11" s="15">
        <v>-10.99</v>
      </c>
      <c r="L11" s="15">
        <v>54.24</v>
      </c>
      <c r="M11" s="15">
        <v>-23.88</v>
      </c>
      <c r="N11" s="15">
        <v>67.05</v>
      </c>
      <c r="O11" s="15">
        <v>0.96</v>
      </c>
      <c r="P11" s="15">
        <v>-8</v>
      </c>
      <c r="Q11">
        <v>1.33</v>
      </c>
      <c r="R11">
        <v>30.65</v>
      </c>
      <c r="S11">
        <v>57.05</v>
      </c>
      <c r="T11">
        <v>60</v>
      </c>
      <c r="U11">
        <v>61.63</v>
      </c>
      <c r="V11">
        <v>-6.31</v>
      </c>
      <c r="W11">
        <v>8.59</v>
      </c>
      <c r="X11">
        <v>132.22</v>
      </c>
      <c r="Y11">
        <v>15.04</v>
      </c>
      <c r="Z11">
        <v>5.49</v>
      </c>
      <c r="AA11">
        <v>-4.54</v>
      </c>
      <c r="AB11">
        <v>1.18</v>
      </c>
      <c r="AC11">
        <v>-20.239999999999998</v>
      </c>
      <c r="AD11">
        <v>-41.9</v>
      </c>
      <c r="AE11">
        <v>-20.56</v>
      </c>
      <c r="AF11">
        <v>-1.28</v>
      </c>
      <c r="AG11">
        <v>-24.9</v>
      </c>
      <c r="AH11">
        <v>55.88</v>
      </c>
      <c r="AI11">
        <v>69.599999999999994</v>
      </c>
      <c r="AJ11">
        <v>12.19</v>
      </c>
      <c r="AK11">
        <v>-22.71</v>
      </c>
      <c r="AL11">
        <v>-16.79</v>
      </c>
      <c r="AM11">
        <v>-0.19</v>
      </c>
      <c r="AN11">
        <v>12.07</v>
      </c>
      <c r="AO11">
        <v>-8.35</v>
      </c>
      <c r="AP11">
        <v>-49.36</v>
      </c>
      <c r="AQ11">
        <v>69.69</v>
      </c>
      <c r="AR11">
        <v>11.74</v>
      </c>
      <c r="AS11">
        <v>44.04</v>
      </c>
      <c r="AT11">
        <v>95.08</v>
      </c>
      <c r="AU11">
        <v>-7.26</v>
      </c>
      <c r="AV11">
        <v>-29.48</v>
      </c>
      <c r="AW11">
        <v>-4.8600000000000003</v>
      </c>
      <c r="AX11">
        <v>60.36</v>
      </c>
      <c r="AY11">
        <v>2.4700000000000002</v>
      </c>
      <c r="AZ11">
        <v>0.37</v>
      </c>
      <c r="BA11">
        <v>51.55</v>
      </c>
      <c r="BB11">
        <v>50.25</v>
      </c>
      <c r="BC11">
        <v>-6.8</v>
      </c>
      <c r="BD11">
        <v>-6.64</v>
      </c>
      <c r="BE11">
        <v>-18.190000000000001</v>
      </c>
      <c r="BF11">
        <v>-12.59</v>
      </c>
      <c r="BG11">
        <v>-29.72</v>
      </c>
      <c r="BH11">
        <v>-13.13</v>
      </c>
      <c r="BI11">
        <v>90.3</v>
      </c>
      <c r="BJ11">
        <v>-14.32</v>
      </c>
      <c r="BK11">
        <v>85.65</v>
      </c>
      <c r="BL11">
        <v>-12.67</v>
      </c>
      <c r="BM11">
        <v>22.84</v>
      </c>
      <c r="BN11">
        <v>15.76</v>
      </c>
      <c r="BO11">
        <v>38.43</v>
      </c>
    </row>
    <row r="12" spans="1:67">
      <c r="A12" s="17">
        <v>45989</v>
      </c>
      <c r="B12" s="15">
        <v>38.64</v>
      </c>
      <c r="C12" s="15">
        <v>-56.76</v>
      </c>
      <c r="D12" s="15">
        <v>28.03</v>
      </c>
      <c r="E12" s="15">
        <v>40.28</v>
      </c>
      <c r="F12" s="15">
        <v>12.45</v>
      </c>
      <c r="G12" s="15">
        <v>9.36</v>
      </c>
      <c r="H12" s="15">
        <v>-1.35</v>
      </c>
      <c r="I12" s="15">
        <v>9.64</v>
      </c>
      <c r="J12" s="15">
        <v>41.08</v>
      </c>
      <c r="K12" s="15">
        <v>-11.04</v>
      </c>
      <c r="L12" s="15">
        <v>55.11</v>
      </c>
      <c r="M12" s="15">
        <v>-24.01</v>
      </c>
      <c r="N12" s="15">
        <v>67.23</v>
      </c>
      <c r="O12" s="15">
        <v>1</v>
      </c>
      <c r="P12" s="15">
        <v>-8</v>
      </c>
      <c r="Q12">
        <v>1.43</v>
      </c>
      <c r="R12">
        <v>30.79</v>
      </c>
      <c r="S12">
        <v>56.83</v>
      </c>
      <c r="T12">
        <v>60.47</v>
      </c>
      <c r="U12">
        <v>61.72</v>
      </c>
      <c r="V12">
        <v>-6.26</v>
      </c>
      <c r="W12">
        <v>8.81</v>
      </c>
      <c r="X12">
        <v>134.1</v>
      </c>
      <c r="Y12">
        <v>15.11</v>
      </c>
      <c r="Z12">
        <v>5.51</v>
      </c>
      <c r="AA12">
        <v>-4.51</v>
      </c>
      <c r="AB12">
        <v>1.5</v>
      </c>
      <c r="AC12">
        <v>-20.39</v>
      </c>
      <c r="AD12">
        <v>-42.08</v>
      </c>
      <c r="AE12">
        <v>-20.46</v>
      </c>
      <c r="AF12">
        <v>-1.26</v>
      </c>
      <c r="AG12">
        <v>-24.8</v>
      </c>
      <c r="AH12">
        <v>56.28</v>
      </c>
      <c r="AI12">
        <v>69.62</v>
      </c>
      <c r="AJ12">
        <v>12.04</v>
      </c>
      <c r="AK12">
        <v>-22.71</v>
      </c>
      <c r="AL12">
        <v>-16.739999999999998</v>
      </c>
      <c r="AM12">
        <v>-0.38</v>
      </c>
      <c r="AN12">
        <v>12.04</v>
      </c>
      <c r="AO12">
        <v>-8.39</v>
      </c>
      <c r="AP12">
        <v>-48.42</v>
      </c>
      <c r="AQ12">
        <v>68.900000000000006</v>
      </c>
      <c r="AR12">
        <v>11.8</v>
      </c>
      <c r="AS12">
        <v>44.17</v>
      </c>
      <c r="AT12">
        <v>96.3</v>
      </c>
      <c r="AU12">
        <v>-7.2</v>
      </c>
      <c r="AV12">
        <v>-29.54</v>
      </c>
      <c r="AW12">
        <v>-4.8099999999999996</v>
      </c>
      <c r="AX12">
        <v>59.32</v>
      </c>
      <c r="AY12">
        <v>2.46</v>
      </c>
      <c r="AZ12">
        <v>0.54</v>
      </c>
      <c r="BA12">
        <v>51.53</v>
      </c>
      <c r="BB12">
        <v>50.44</v>
      </c>
      <c r="BC12">
        <v>-6.79</v>
      </c>
      <c r="BD12">
        <v>-6.62</v>
      </c>
      <c r="BE12">
        <v>-18.18</v>
      </c>
      <c r="BF12">
        <v>-12.58</v>
      </c>
      <c r="BG12">
        <v>-29.92</v>
      </c>
      <c r="BH12">
        <v>-13.1</v>
      </c>
      <c r="BI12">
        <v>91.18</v>
      </c>
      <c r="BJ12">
        <v>-14.33</v>
      </c>
      <c r="BK12">
        <v>86.12</v>
      </c>
      <c r="BL12">
        <v>-12.48</v>
      </c>
      <c r="BM12">
        <v>23.45</v>
      </c>
      <c r="BN12">
        <v>15.72</v>
      </c>
      <c r="BO12">
        <v>39.159999999999997</v>
      </c>
    </row>
    <row r="13" spans="1:67">
      <c r="A13" s="18">
        <v>45992</v>
      </c>
      <c r="B13" s="15">
        <v>38.869999999999997</v>
      </c>
      <c r="C13" s="15">
        <v>-56.57</v>
      </c>
      <c r="D13" s="15">
        <v>27.99</v>
      </c>
      <c r="E13" s="15">
        <v>40.24</v>
      </c>
      <c r="F13" s="15">
        <v>12.72</v>
      </c>
      <c r="G13" s="15">
        <v>9.09</v>
      </c>
      <c r="H13" s="15">
        <v>-1.3</v>
      </c>
      <c r="I13" s="15">
        <v>9.76</v>
      </c>
      <c r="J13" s="15">
        <v>41.62</v>
      </c>
      <c r="K13" s="15">
        <v>-11.06</v>
      </c>
      <c r="L13" s="15">
        <v>55.49</v>
      </c>
      <c r="M13" s="15">
        <v>-24.15</v>
      </c>
      <c r="N13" s="15">
        <v>67.31</v>
      </c>
      <c r="O13" s="15">
        <v>0.86</v>
      </c>
      <c r="P13" s="15">
        <v>-8.0299999999999994</v>
      </c>
      <c r="Q13">
        <v>1.5</v>
      </c>
      <c r="R13">
        <v>30.64</v>
      </c>
      <c r="S13">
        <v>57.26</v>
      </c>
      <c r="T13">
        <v>60.76</v>
      </c>
      <c r="U13">
        <v>61.66</v>
      </c>
      <c r="V13">
        <v>-6.25</v>
      </c>
      <c r="W13">
        <v>8.94</v>
      </c>
      <c r="X13">
        <v>133.97999999999999</v>
      </c>
      <c r="Y13">
        <v>14.9</v>
      </c>
      <c r="Z13">
        <v>5.52</v>
      </c>
      <c r="AA13">
        <v>-4.53</v>
      </c>
      <c r="AB13">
        <v>1.53</v>
      </c>
      <c r="AC13">
        <v>-20.350000000000001</v>
      </c>
      <c r="AD13">
        <v>-42.23</v>
      </c>
      <c r="AE13">
        <v>-20.5</v>
      </c>
      <c r="AF13">
        <v>-1.41</v>
      </c>
      <c r="AG13">
        <v>-24.89</v>
      </c>
      <c r="AH13">
        <v>57.25</v>
      </c>
      <c r="AI13">
        <v>70.22</v>
      </c>
      <c r="AJ13">
        <v>11.94</v>
      </c>
      <c r="AK13">
        <v>-22.76</v>
      </c>
      <c r="AL13">
        <v>-16.73</v>
      </c>
      <c r="AM13">
        <v>-0.66</v>
      </c>
      <c r="AN13">
        <v>12.01</v>
      </c>
      <c r="AO13">
        <v>-8.42</v>
      </c>
      <c r="AP13">
        <v>-48.5</v>
      </c>
      <c r="AQ13">
        <v>68.69</v>
      </c>
      <c r="AR13">
        <v>11.99</v>
      </c>
      <c r="AS13">
        <v>44.17</v>
      </c>
      <c r="AT13">
        <v>96.68</v>
      </c>
      <c r="AU13">
        <v>-7.23</v>
      </c>
      <c r="AV13">
        <v>-29.73</v>
      </c>
      <c r="AW13">
        <v>-4.84</v>
      </c>
      <c r="AX13">
        <v>58.66</v>
      </c>
      <c r="AY13">
        <v>2.4500000000000002</v>
      </c>
      <c r="AZ13">
        <v>0.54</v>
      </c>
      <c r="BA13">
        <v>52.1</v>
      </c>
      <c r="BB13">
        <v>50.57</v>
      </c>
      <c r="BC13">
        <v>-6.76</v>
      </c>
      <c r="BD13">
        <v>-6.67</v>
      </c>
      <c r="BE13">
        <v>-18.34</v>
      </c>
      <c r="BF13">
        <v>-12.56</v>
      </c>
      <c r="BG13">
        <v>-30.01</v>
      </c>
      <c r="BH13">
        <v>-13.15</v>
      </c>
      <c r="BI13">
        <v>91.32</v>
      </c>
      <c r="BJ13">
        <v>-14.45</v>
      </c>
      <c r="BK13">
        <v>85.96</v>
      </c>
      <c r="BL13">
        <v>-12.43</v>
      </c>
      <c r="BM13">
        <v>23.04</v>
      </c>
      <c r="BN13">
        <v>15.69</v>
      </c>
      <c r="BO13">
        <v>38.909999999999997</v>
      </c>
    </row>
    <row r="14" spans="1:67">
      <c r="A14" s="17">
        <v>45993</v>
      </c>
      <c r="B14" s="15">
        <v>38.6</v>
      </c>
      <c r="C14" s="15">
        <v>-57.49</v>
      </c>
      <c r="D14" s="15">
        <v>28.06</v>
      </c>
      <c r="E14" s="15">
        <v>40.22</v>
      </c>
      <c r="F14" s="15">
        <v>12.47</v>
      </c>
      <c r="G14" s="15">
        <v>9.02</v>
      </c>
      <c r="H14" s="15">
        <v>-1.29</v>
      </c>
      <c r="I14" s="15">
        <v>9.51</v>
      </c>
      <c r="J14" s="15">
        <v>40.79</v>
      </c>
      <c r="K14" s="15">
        <v>-11.02</v>
      </c>
      <c r="L14" s="15">
        <v>55.01</v>
      </c>
      <c r="M14" s="15">
        <v>-23.84</v>
      </c>
      <c r="N14" s="15">
        <v>66.819999999999993</v>
      </c>
      <c r="O14" s="15">
        <v>0.88</v>
      </c>
      <c r="P14" s="15">
        <v>-7.98</v>
      </c>
      <c r="Q14">
        <v>1.56</v>
      </c>
      <c r="R14">
        <v>30.57</v>
      </c>
      <c r="S14">
        <v>56.37</v>
      </c>
      <c r="T14">
        <v>60.2</v>
      </c>
      <c r="U14">
        <v>61.52</v>
      </c>
      <c r="V14">
        <v>-6.19</v>
      </c>
      <c r="W14">
        <v>8.8000000000000007</v>
      </c>
      <c r="X14">
        <v>133.36000000000001</v>
      </c>
      <c r="Y14">
        <v>14.8</v>
      </c>
      <c r="Z14">
        <v>5.56</v>
      </c>
      <c r="AA14">
        <v>-4.46</v>
      </c>
      <c r="AB14">
        <v>1.67</v>
      </c>
      <c r="AC14">
        <v>-20.399999999999999</v>
      </c>
      <c r="AD14">
        <v>-41.87</v>
      </c>
      <c r="AE14">
        <v>-20.329999999999998</v>
      </c>
      <c r="AF14">
        <v>-1.47</v>
      </c>
      <c r="AG14">
        <v>-24.67</v>
      </c>
      <c r="AH14">
        <v>56.24</v>
      </c>
      <c r="AI14">
        <v>69.39</v>
      </c>
      <c r="AJ14">
        <v>12.08</v>
      </c>
      <c r="AK14">
        <v>-22.64</v>
      </c>
      <c r="AL14">
        <v>-16.71</v>
      </c>
      <c r="AM14">
        <v>-0.69</v>
      </c>
      <c r="AN14">
        <v>12.02</v>
      </c>
      <c r="AO14">
        <v>-8.36</v>
      </c>
      <c r="AP14">
        <v>-48.91</v>
      </c>
      <c r="AQ14">
        <v>68.05</v>
      </c>
      <c r="AR14">
        <v>12.22</v>
      </c>
      <c r="AS14">
        <v>43.89</v>
      </c>
      <c r="AT14">
        <v>96.03</v>
      </c>
      <c r="AU14">
        <v>-7.22</v>
      </c>
      <c r="AV14">
        <v>-29.58</v>
      </c>
      <c r="AW14">
        <v>-4.76</v>
      </c>
      <c r="AX14">
        <v>57.98</v>
      </c>
      <c r="AY14">
        <v>2.5099999999999998</v>
      </c>
      <c r="AZ14">
        <v>0.59</v>
      </c>
      <c r="BA14">
        <v>51.38</v>
      </c>
      <c r="BB14">
        <v>50.42</v>
      </c>
      <c r="BC14">
        <v>-6.73</v>
      </c>
      <c r="BD14">
        <v>-6.57</v>
      </c>
      <c r="BE14">
        <v>-18.12</v>
      </c>
      <c r="BF14">
        <v>-12.5</v>
      </c>
      <c r="BG14">
        <v>-29.85</v>
      </c>
      <c r="BH14">
        <v>-13.03</v>
      </c>
      <c r="BI14">
        <v>90.53</v>
      </c>
      <c r="BJ14">
        <v>-14.16</v>
      </c>
      <c r="BK14">
        <v>85.43</v>
      </c>
      <c r="BL14">
        <v>-12.47</v>
      </c>
      <c r="BM14">
        <v>23.66</v>
      </c>
      <c r="BN14">
        <v>15.68</v>
      </c>
      <c r="BO14">
        <v>38.97</v>
      </c>
    </row>
    <row r="15" spans="1:67">
      <c r="A15" s="18">
        <v>45994</v>
      </c>
      <c r="B15" s="15">
        <v>38.51</v>
      </c>
      <c r="C15" s="15">
        <v>-56.97</v>
      </c>
      <c r="D15" s="15">
        <v>27.94</v>
      </c>
      <c r="E15" s="15">
        <v>40.340000000000003</v>
      </c>
      <c r="F15" s="15">
        <v>12.94</v>
      </c>
      <c r="G15" s="15">
        <v>8.8800000000000008</v>
      </c>
      <c r="H15" s="15">
        <v>-1.27</v>
      </c>
      <c r="I15" s="15">
        <v>9.74</v>
      </c>
      <c r="J15" s="15">
        <v>41.8</v>
      </c>
      <c r="K15" s="15">
        <v>-11.04</v>
      </c>
      <c r="L15" s="15">
        <v>56.48</v>
      </c>
      <c r="M15" s="15">
        <v>-24.08</v>
      </c>
      <c r="N15" s="15">
        <v>66.84</v>
      </c>
      <c r="O15" s="15">
        <v>0.87</v>
      </c>
      <c r="P15" s="15">
        <v>-8.02</v>
      </c>
      <c r="Q15">
        <v>1.51</v>
      </c>
      <c r="R15">
        <v>30.45</v>
      </c>
      <c r="S15">
        <v>56.43</v>
      </c>
      <c r="T15">
        <v>60.4</v>
      </c>
      <c r="U15">
        <v>61.57</v>
      </c>
      <c r="V15">
        <v>-6.24</v>
      </c>
      <c r="W15">
        <v>8.82</v>
      </c>
      <c r="X15">
        <v>133.63</v>
      </c>
      <c r="Y15">
        <v>14.77</v>
      </c>
      <c r="Z15">
        <v>5.54</v>
      </c>
      <c r="AA15">
        <v>-4.53</v>
      </c>
      <c r="AB15">
        <v>1.86</v>
      </c>
      <c r="AC15">
        <v>-20.38</v>
      </c>
      <c r="AD15">
        <v>-42.04</v>
      </c>
      <c r="AE15">
        <v>-20.38</v>
      </c>
      <c r="AF15">
        <v>-1.47</v>
      </c>
      <c r="AG15">
        <v>-24.77</v>
      </c>
      <c r="AH15">
        <v>55.86</v>
      </c>
      <c r="AI15">
        <v>69.97</v>
      </c>
      <c r="AJ15">
        <v>12.06</v>
      </c>
      <c r="AK15">
        <v>-22.66</v>
      </c>
      <c r="AL15">
        <v>-16.760000000000002</v>
      </c>
      <c r="AM15">
        <v>-0.78</v>
      </c>
      <c r="AN15">
        <v>11.95</v>
      </c>
      <c r="AO15">
        <v>-8.33</v>
      </c>
      <c r="AP15">
        <v>-49.14</v>
      </c>
      <c r="AQ15">
        <v>68.62</v>
      </c>
      <c r="AR15">
        <v>12.4</v>
      </c>
      <c r="AS15">
        <v>43.75</v>
      </c>
      <c r="AT15">
        <v>97.34</v>
      </c>
      <c r="AU15">
        <v>-7.18</v>
      </c>
      <c r="AV15">
        <v>-29.63</v>
      </c>
      <c r="AW15">
        <v>-4.75</v>
      </c>
      <c r="AX15">
        <v>58.53</v>
      </c>
      <c r="AY15">
        <v>2.4500000000000002</v>
      </c>
      <c r="AZ15">
        <v>0.76</v>
      </c>
      <c r="BA15">
        <v>51.61</v>
      </c>
      <c r="BB15">
        <v>50.18</v>
      </c>
      <c r="BC15">
        <v>-6.75</v>
      </c>
      <c r="BD15">
        <v>-6.61</v>
      </c>
      <c r="BE15">
        <v>-18.260000000000002</v>
      </c>
      <c r="BF15">
        <v>-12.64</v>
      </c>
      <c r="BG15">
        <v>-29.91</v>
      </c>
      <c r="BH15">
        <v>-13.1</v>
      </c>
      <c r="BI15">
        <v>90.72</v>
      </c>
      <c r="BJ15">
        <v>-14.42</v>
      </c>
      <c r="BK15">
        <v>85.43</v>
      </c>
      <c r="BL15">
        <v>-12.31</v>
      </c>
      <c r="BM15">
        <v>23.58</v>
      </c>
      <c r="BN15">
        <v>15.62</v>
      </c>
      <c r="BO15">
        <v>39.049999999999997</v>
      </c>
    </row>
    <row r="16" spans="1:67">
      <c r="A16" s="17">
        <v>45995</v>
      </c>
      <c r="B16" s="15">
        <v>38.229999999999997</v>
      </c>
      <c r="C16" s="15">
        <v>-56.48</v>
      </c>
      <c r="D16" s="15">
        <v>28.16</v>
      </c>
      <c r="E16" s="15">
        <v>40.07</v>
      </c>
      <c r="F16" s="15">
        <v>13.01</v>
      </c>
      <c r="G16" s="15">
        <v>9.1999999999999993</v>
      </c>
      <c r="H16" s="15">
        <v>-1.18</v>
      </c>
      <c r="I16" s="15">
        <v>10</v>
      </c>
      <c r="J16" s="15">
        <v>41.45</v>
      </c>
      <c r="K16" s="15">
        <v>-11.02</v>
      </c>
      <c r="L16" s="15">
        <v>55.96</v>
      </c>
      <c r="M16" s="15">
        <v>-24.12</v>
      </c>
      <c r="N16" s="15">
        <v>67.150000000000006</v>
      </c>
      <c r="O16" s="15">
        <v>0.92</v>
      </c>
      <c r="P16" s="15">
        <v>-7.99</v>
      </c>
      <c r="Q16">
        <v>1.66</v>
      </c>
      <c r="R16">
        <v>30.34</v>
      </c>
      <c r="S16">
        <v>55.28</v>
      </c>
      <c r="T16">
        <v>60.47</v>
      </c>
      <c r="U16">
        <v>61.45</v>
      </c>
      <c r="V16">
        <v>-6.2</v>
      </c>
      <c r="W16">
        <v>8.89</v>
      </c>
      <c r="X16">
        <v>133.72999999999999</v>
      </c>
      <c r="Y16">
        <v>14.94</v>
      </c>
      <c r="Z16">
        <v>5.52</v>
      </c>
      <c r="AA16">
        <v>-4.47</v>
      </c>
      <c r="AB16">
        <v>1.64</v>
      </c>
      <c r="AC16">
        <v>-20.39</v>
      </c>
      <c r="AD16">
        <v>-42.05</v>
      </c>
      <c r="AE16">
        <v>-20.32</v>
      </c>
      <c r="AF16">
        <v>-1.27</v>
      </c>
      <c r="AG16">
        <v>-24.74</v>
      </c>
      <c r="AH16">
        <v>55.42</v>
      </c>
      <c r="AI16">
        <v>70.28</v>
      </c>
      <c r="AJ16">
        <v>12.03</v>
      </c>
      <c r="AK16">
        <v>-22.67</v>
      </c>
      <c r="AL16">
        <v>-16.7</v>
      </c>
      <c r="AM16">
        <v>-1.1599999999999999</v>
      </c>
      <c r="AN16">
        <v>11.92</v>
      </c>
      <c r="AO16">
        <v>-8.4600000000000009</v>
      </c>
      <c r="AP16">
        <v>-49.83</v>
      </c>
      <c r="AQ16">
        <v>67.73</v>
      </c>
      <c r="AR16">
        <v>12.44</v>
      </c>
      <c r="AS16">
        <v>43.21</v>
      </c>
      <c r="AT16">
        <v>97.24</v>
      </c>
      <c r="AU16">
        <v>-7.21</v>
      </c>
      <c r="AV16">
        <v>-29.24</v>
      </c>
      <c r="AW16">
        <v>-4.78</v>
      </c>
      <c r="AX16">
        <v>56.31</v>
      </c>
      <c r="AY16">
        <v>2.42</v>
      </c>
      <c r="AZ16">
        <v>0.76</v>
      </c>
      <c r="BA16">
        <v>51.55</v>
      </c>
      <c r="BB16">
        <v>50</v>
      </c>
      <c r="BC16">
        <v>-6.78</v>
      </c>
      <c r="BD16">
        <v>-6.64</v>
      </c>
      <c r="BE16">
        <v>-18.27</v>
      </c>
      <c r="BF16">
        <v>-12.5</v>
      </c>
      <c r="BG16">
        <v>-29.92</v>
      </c>
      <c r="BH16">
        <v>-13.1</v>
      </c>
      <c r="BI16">
        <v>90.99</v>
      </c>
      <c r="BJ16">
        <v>-14.18</v>
      </c>
      <c r="BK16">
        <v>85.96</v>
      </c>
      <c r="BL16">
        <v>-12.23</v>
      </c>
      <c r="BM16">
        <v>23.96</v>
      </c>
      <c r="BN16">
        <v>15.67</v>
      </c>
      <c r="BO16">
        <v>39.01</v>
      </c>
    </row>
    <row r="17" spans="1:67">
      <c r="A17" s="18">
        <v>45996</v>
      </c>
      <c r="B17" s="15">
        <v>38.31</v>
      </c>
      <c r="C17" s="15">
        <v>-55.78</v>
      </c>
      <c r="D17" s="15">
        <v>28.1</v>
      </c>
      <c r="E17" s="15">
        <v>39.99</v>
      </c>
      <c r="F17" s="15">
        <v>12.9</v>
      </c>
      <c r="G17" s="15">
        <v>8.91</v>
      </c>
      <c r="H17" s="15">
        <v>-1.1000000000000001</v>
      </c>
      <c r="I17" s="15">
        <v>10.18</v>
      </c>
      <c r="J17" s="15">
        <v>42.16</v>
      </c>
      <c r="K17" s="15">
        <v>-11.05</v>
      </c>
      <c r="L17" s="15">
        <v>56.49</v>
      </c>
      <c r="M17" s="15">
        <v>-24.28</v>
      </c>
      <c r="N17" s="15">
        <v>67.14</v>
      </c>
      <c r="O17" s="15">
        <v>0.83</v>
      </c>
      <c r="P17" s="15">
        <v>-8.02</v>
      </c>
      <c r="Q17">
        <v>1.62</v>
      </c>
      <c r="R17">
        <v>30.18</v>
      </c>
      <c r="S17">
        <v>55.64</v>
      </c>
      <c r="T17">
        <v>60.9</v>
      </c>
      <c r="U17">
        <v>61.46</v>
      </c>
      <c r="V17">
        <v>-6.24</v>
      </c>
      <c r="W17">
        <v>8.8800000000000008</v>
      </c>
      <c r="X17">
        <v>134.12</v>
      </c>
      <c r="Y17">
        <v>14.69</v>
      </c>
      <c r="Z17">
        <v>5.54</v>
      </c>
      <c r="AA17">
        <v>-4.5</v>
      </c>
      <c r="AB17">
        <v>1.74</v>
      </c>
      <c r="AC17">
        <v>-20.41</v>
      </c>
      <c r="AD17">
        <v>-42.28</v>
      </c>
      <c r="AE17">
        <v>-20.440000000000001</v>
      </c>
      <c r="AF17">
        <v>-1.36</v>
      </c>
      <c r="AG17">
        <v>-24.86</v>
      </c>
      <c r="AH17">
        <v>55.68</v>
      </c>
      <c r="AI17">
        <v>70.900000000000006</v>
      </c>
      <c r="AJ17">
        <v>11.94</v>
      </c>
      <c r="AK17">
        <v>-22.71</v>
      </c>
      <c r="AL17">
        <v>-16.68</v>
      </c>
      <c r="AM17">
        <v>-1.2</v>
      </c>
      <c r="AN17">
        <v>11.9</v>
      </c>
      <c r="AO17">
        <v>-8.49</v>
      </c>
      <c r="AP17">
        <v>-49.61</v>
      </c>
      <c r="AQ17">
        <v>68.12</v>
      </c>
      <c r="AR17">
        <v>12.55</v>
      </c>
      <c r="AS17">
        <v>43.31</v>
      </c>
      <c r="AT17">
        <v>97.81</v>
      </c>
      <c r="AU17">
        <v>-7.2</v>
      </c>
      <c r="AV17">
        <v>-29.26</v>
      </c>
      <c r="AW17">
        <v>-4.79</v>
      </c>
      <c r="AX17">
        <v>56.64</v>
      </c>
      <c r="AY17">
        <v>2.38</v>
      </c>
      <c r="AZ17">
        <v>0.82</v>
      </c>
      <c r="BA17">
        <v>51.92</v>
      </c>
      <c r="BB17">
        <v>50.07</v>
      </c>
      <c r="BC17">
        <v>-6.82</v>
      </c>
      <c r="BD17">
        <v>-6.69</v>
      </c>
      <c r="BE17">
        <v>-18.37</v>
      </c>
      <c r="BF17">
        <v>-12.5</v>
      </c>
      <c r="BG17">
        <v>-29.95</v>
      </c>
      <c r="BH17">
        <v>-13.17</v>
      </c>
      <c r="BI17">
        <v>90.96</v>
      </c>
      <c r="BJ17">
        <v>-14.39</v>
      </c>
      <c r="BK17">
        <v>85.72</v>
      </c>
      <c r="BL17">
        <v>-12.08</v>
      </c>
      <c r="BM17">
        <v>24.28</v>
      </c>
      <c r="BN17">
        <v>15.62</v>
      </c>
      <c r="BO17">
        <v>38.979999999999997</v>
      </c>
    </row>
    <row r="18" spans="1:67">
      <c r="A18" s="17">
        <v>45999</v>
      </c>
      <c r="B18" s="15">
        <v>38.130000000000003</v>
      </c>
      <c r="C18" s="15">
        <v>-57.26</v>
      </c>
      <c r="D18" s="15">
        <v>28.38</v>
      </c>
      <c r="E18" s="15">
        <v>39.68</v>
      </c>
      <c r="F18" s="15">
        <v>12.69</v>
      </c>
      <c r="G18" s="15">
        <v>8.6199999999999992</v>
      </c>
      <c r="H18" s="15">
        <v>-1.1100000000000001</v>
      </c>
      <c r="I18" s="15">
        <v>9.6</v>
      </c>
      <c r="J18" s="15">
        <v>42.22</v>
      </c>
      <c r="K18" s="15">
        <v>-11.04</v>
      </c>
      <c r="L18" s="15">
        <v>57.03</v>
      </c>
      <c r="M18" s="15">
        <v>-23.94</v>
      </c>
      <c r="N18" s="15">
        <v>66.64</v>
      </c>
      <c r="O18" s="15">
        <v>0.9</v>
      </c>
      <c r="P18" s="15">
        <v>-7.97</v>
      </c>
      <c r="Q18">
        <v>1.72</v>
      </c>
      <c r="R18">
        <v>30.75</v>
      </c>
      <c r="S18">
        <v>55.02</v>
      </c>
      <c r="T18">
        <v>60.7</v>
      </c>
      <c r="U18">
        <v>61.54</v>
      </c>
      <c r="V18">
        <v>-6.13</v>
      </c>
      <c r="W18">
        <v>8.84</v>
      </c>
      <c r="X18">
        <v>134.22</v>
      </c>
      <c r="Y18">
        <v>14.6</v>
      </c>
      <c r="Z18">
        <v>5.56</v>
      </c>
      <c r="AA18">
        <v>-4.45</v>
      </c>
      <c r="AB18">
        <v>1.95</v>
      </c>
      <c r="AC18">
        <v>-20.46</v>
      </c>
      <c r="AD18">
        <v>-41.91</v>
      </c>
      <c r="AE18">
        <v>-20.239999999999998</v>
      </c>
      <c r="AF18">
        <v>-1.43</v>
      </c>
      <c r="AG18">
        <v>-24.58</v>
      </c>
      <c r="AH18">
        <v>55.09</v>
      </c>
      <c r="AI18">
        <v>69.849999999999994</v>
      </c>
      <c r="AJ18">
        <v>12.09</v>
      </c>
      <c r="AK18">
        <v>-22.54</v>
      </c>
      <c r="AL18">
        <v>-16.59</v>
      </c>
      <c r="AM18">
        <v>-1.08</v>
      </c>
      <c r="AN18">
        <v>12.09</v>
      </c>
      <c r="AO18">
        <v>-8.42</v>
      </c>
      <c r="AP18">
        <v>-49.44</v>
      </c>
      <c r="AQ18">
        <v>67.06</v>
      </c>
      <c r="AR18">
        <v>12.75</v>
      </c>
      <c r="AS18">
        <v>43.18</v>
      </c>
      <c r="AT18">
        <v>97.6</v>
      </c>
      <c r="AU18">
        <v>-7.15</v>
      </c>
      <c r="AV18">
        <v>-29.02</v>
      </c>
      <c r="AW18">
        <v>-4.75</v>
      </c>
      <c r="AX18">
        <v>55.56</v>
      </c>
      <c r="AY18">
        <v>2.42</v>
      </c>
      <c r="AZ18">
        <v>0.94</v>
      </c>
      <c r="BA18">
        <v>51.09</v>
      </c>
      <c r="BB18">
        <v>50.09</v>
      </c>
      <c r="BC18">
        <v>-6.72</v>
      </c>
      <c r="BD18">
        <v>-6.58</v>
      </c>
      <c r="BE18">
        <v>-18.100000000000001</v>
      </c>
      <c r="BF18">
        <v>-12.38</v>
      </c>
      <c r="BG18">
        <v>-29.85</v>
      </c>
      <c r="BH18">
        <v>-13.02</v>
      </c>
      <c r="BI18">
        <v>90.66</v>
      </c>
      <c r="BJ18">
        <v>-14.3</v>
      </c>
      <c r="BK18">
        <v>85.22</v>
      </c>
      <c r="BL18">
        <v>-12.49</v>
      </c>
      <c r="BM18">
        <v>24.58</v>
      </c>
      <c r="BN18">
        <v>15.63</v>
      </c>
      <c r="BO18">
        <v>39.130000000000003</v>
      </c>
    </row>
    <row r="19" spans="1:67">
      <c r="A19" s="18">
        <v>46000</v>
      </c>
      <c r="B19" s="15">
        <v>38.32</v>
      </c>
      <c r="C19" s="15">
        <v>-57.46</v>
      </c>
      <c r="D19" s="15">
        <v>28.78</v>
      </c>
      <c r="E19" s="15">
        <v>39.58</v>
      </c>
      <c r="F19" s="15">
        <v>12.1</v>
      </c>
      <c r="G19" s="15">
        <v>8.68</v>
      </c>
      <c r="H19" s="15">
        <v>-1.1399999999999999</v>
      </c>
      <c r="I19" s="15">
        <v>9.18</v>
      </c>
      <c r="J19" s="15">
        <v>42.2</v>
      </c>
      <c r="K19" s="15">
        <v>-11.06</v>
      </c>
      <c r="L19" s="15">
        <v>56.66</v>
      </c>
      <c r="M19" s="15">
        <v>-23.85</v>
      </c>
      <c r="N19" s="15">
        <v>66.69</v>
      </c>
      <c r="O19" s="15">
        <v>0.99</v>
      </c>
      <c r="P19" s="15">
        <v>-7.97</v>
      </c>
      <c r="Q19">
        <v>1.63</v>
      </c>
      <c r="R19">
        <v>31.2</v>
      </c>
      <c r="S19">
        <v>55.69</v>
      </c>
      <c r="T19">
        <v>60.94</v>
      </c>
      <c r="U19">
        <v>61.63</v>
      </c>
      <c r="V19">
        <v>-6.15</v>
      </c>
      <c r="W19">
        <v>8.8699999999999992</v>
      </c>
      <c r="X19">
        <v>135.12</v>
      </c>
      <c r="Y19">
        <v>14.69</v>
      </c>
      <c r="Z19">
        <v>5.58</v>
      </c>
      <c r="AA19">
        <v>-4.46</v>
      </c>
      <c r="AB19">
        <v>1.77</v>
      </c>
      <c r="AC19">
        <v>-20.52</v>
      </c>
      <c r="AD19">
        <v>-41.92</v>
      </c>
      <c r="AE19">
        <v>-20.18</v>
      </c>
      <c r="AF19">
        <v>-1.29</v>
      </c>
      <c r="AG19">
        <v>-24.5</v>
      </c>
      <c r="AH19">
        <v>55.57</v>
      </c>
      <c r="AI19">
        <v>69.53</v>
      </c>
      <c r="AJ19">
        <v>12.03</v>
      </c>
      <c r="AK19">
        <v>-22.47</v>
      </c>
      <c r="AL19">
        <v>-16.559999999999999</v>
      </c>
      <c r="AM19">
        <v>-0.89</v>
      </c>
      <c r="AN19">
        <v>12.26</v>
      </c>
      <c r="AO19">
        <v>-8.43</v>
      </c>
      <c r="AP19">
        <v>-48.38</v>
      </c>
      <c r="AQ19">
        <v>67.400000000000006</v>
      </c>
      <c r="AR19">
        <v>12.71</v>
      </c>
      <c r="AS19">
        <v>43.67</v>
      </c>
      <c r="AT19">
        <v>97.19</v>
      </c>
      <c r="AU19">
        <v>-7.12</v>
      </c>
      <c r="AV19">
        <v>-29.06</v>
      </c>
      <c r="AW19">
        <v>-4.74</v>
      </c>
      <c r="AX19">
        <v>56.65</v>
      </c>
      <c r="AY19">
        <v>2.44</v>
      </c>
      <c r="AZ19">
        <v>0.85</v>
      </c>
      <c r="BA19">
        <v>51.05</v>
      </c>
      <c r="BB19">
        <v>50.36</v>
      </c>
      <c r="BC19">
        <v>-6.7</v>
      </c>
      <c r="BD19">
        <v>-6.56</v>
      </c>
      <c r="BE19">
        <v>-18.079999999999998</v>
      </c>
      <c r="BF19">
        <v>-12.41</v>
      </c>
      <c r="BG19">
        <v>-29.89</v>
      </c>
      <c r="BH19">
        <v>-12.96</v>
      </c>
      <c r="BI19">
        <v>91</v>
      </c>
      <c r="BJ19">
        <v>-14.27</v>
      </c>
      <c r="BK19">
        <v>85.58</v>
      </c>
      <c r="BL19">
        <v>-12.74</v>
      </c>
      <c r="BM19">
        <v>24.81</v>
      </c>
      <c r="BN19">
        <v>15.68</v>
      </c>
      <c r="BO19">
        <v>39.4</v>
      </c>
    </row>
    <row r="20" spans="1:67">
      <c r="A20" s="17">
        <v>46001</v>
      </c>
      <c r="B20" s="15">
        <v>37.69</v>
      </c>
      <c r="C20" s="15">
        <v>-56.97</v>
      </c>
      <c r="D20" s="15">
        <v>28.68</v>
      </c>
      <c r="E20" s="15">
        <v>39.369999999999997</v>
      </c>
      <c r="F20" s="15">
        <v>12.6</v>
      </c>
      <c r="G20" s="15">
        <v>8.92</v>
      </c>
      <c r="H20" s="15">
        <v>-1.19</v>
      </c>
      <c r="I20" s="15">
        <v>9.19</v>
      </c>
      <c r="J20" s="15">
        <v>41.38</v>
      </c>
      <c r="K20" s="15">
        <v>-11.03</v>
      </c>
      <c r="L20" s="15">
        <v>56.99</v>
      </c>
      <c r="M20" s="15">
        <v>-23.92</v>
      </c>
      <c r="N20" s="15">
        <v>66.86</v>
      </c>
      <c r="O20" s="15">
        <v>1.1000000000000001</v>
      </c>
      <c r="P20" s="15">
        <v>-7.95</v>
      </c>
      <c r="Q20">
        <v>1.7</v>
      </c>
      <c r="R20">
        <v>31.35</v>
      </c>
      <c r="S20">
        <v>54.1</v>
      </c>
      <c r="T20">
        <v>61.63</v>
      </c>
      <c r="U20">
        <v>61.45</v>
      </c>
      <c r="V20">
        <v>-6.14</v>
      </c>
      <c r="W20">
        <v>8.86</v>
      </c>
      <c r="X20">
        <v>135.56</v>
      </c>
      <c r="Y20">
        <v>14.95</v>
      </c>
      <c r="Z20">
        <v>5.6</v>
      </c>
      <c r="AA20">
        <v>-4.43</v>
      </c>
      <c r="AB20">
        <v>1.63</v>
      </c>
      <c r="AC20">
        <v>-20.420000000000002</v>
      </c>
      <c r="AD20">
        <v>-41.91</v>
      </c>
      <c r="AE20">
        <v>-20.079999999999998</v>
      </c>
      <c r="AF20">
        <v>-1.1299999999999999</v>
      </c>
      <c r="AG20">
        <v>-24.44</v>
      </c>
      <c r="AH20">
        <v>54</v>
      </c>
      <c r="AI20">
        <v>69.849999999999994</v>
      </c>
      <c r="AJ20">
        <v>12.07</v>
      </c>
      <c r="AK20">
        <v>-22.44</v>
      </c>
      <c r="AL20">
        <v>-16.510000000000002</v>
      </c>
      <c r="AM20">
        <v>-1.41</v>
      </c>
      <c r="AN20">
        <v>12.27</v>
      </c>
      <c r="AO20">
        <v>-8.5500000000000007</v>
      </c>
      <c r="AP20">
        <v>-50.22</v>
      </c>
      <c r="AQ20">
        <v>67.19</v>
      </c>
      <c r="AR20">
        <v>12.79</v>
      </c>
      <c r="AS20">
        <v>42.58</v>
      </c>
      <c r="AT20">
        <v>97.42</v>
      </c>
      <c r="AU20">
        <v>-7.06</v>
      </c>
      <c r="AV20">
        <v>-28.71</v>
      </c>
      <c r="AW20">
        <v>-4.78</v>
      </c>
      <c r="AX20">
        <v>54.66</v>
      </c>
      <c r="AY20">
        <v>2.39</v>
      </c>
      <c r="AZ20">
        <v>0.9</v>
      </c>
      <c r="BA20">
        <v>50.87</v>
      </c>
      <c r="BB20">
        <v>49.67</v>
      </c>
      <c r="BC20">
        <v>-6.72</v>
      </c>
      <c r="BD20">
        <v>-6.57</v>
      </c>
      <c r="BE20">
        <v>-18.05</v>
      </c>
      <c r="BF20">
        <v>-12.34</v>
      </c>
      <c r="BG20">
        <v>-29.88</v>
      </c>
      <c r="BH20">
        <v>-12.93</v>
      </c>
      <c r="BI20">
        <v>90.98</v>
      </c>
      <c r="BJ20">
        <v>-14.3</v>
      </c>
      <c r="BK20">
        <v>85.94</v>
      </c>
      <c r="BL20">
        <v>-12.74</v>
      </c>
      <c r="BM20">
        <v>25.01</v>
      </c>
      <c r="BN20">
        <v>15.7</v>
      </c>
      <c r="BO20">
        <v>39.159999999999997</v>
      </c>
    </row>
    <row r="21" spans="1:67">
      <c r="A21" s="18">
        <v>46002</v>
      </c>
      <c r="B21" s="15">
        <v>37.29</v>
      </c>
      <c r="C21" s="15">
        <v>-57.91</v>
      </c>
      <c r="D21" s="15">
        <v>28.81</v>
      </c>
      <c r="E21" s="15">
        <v>39.32</v>
      </c>
      <c r="F21" s="15">
        <v>13.03</v>
      </c>
      <c r="G21" s="15">
        <v>9.01</v>
      </c>
      <c r="H21" s="15">
        <v>-1.18</v>
      </c>
      <c r="I21" s="15">
        <v>9.06</v>
      </c>
      <c r="J21" s="15">
        <v>42.2</v>
      </c>
      <c r="K21" s="15">
        <v>-11.11</v>
      </c>
      <c r="L21" s="15">
        <v>59.01</v>
      </c>
      <c r="M21" s="15">
        <v>-24.1</v>
      </c>
      <c r="N21" s="15">
        <v>66.98</v>
      </c>
      <c r="O21" s="15">
        <v>1.23</v>
      </c>
      <c r="P21" s="15">
        <v>-7.99</v>
      </c>
      <c r="Q21">
        <v>1.68</v>
      </c>
      <c r="R21">
        <v>32.11</v>
      </c>
      <c r="S21">
        <v>53.79</v>
      </c>
      <c r="T21">
        <v>61.96</v>
      </c>
      <c r="U21">
        <v>61.64</v>
      </c>
      <c r="V21">
        <v>-6.13</v>
      </c>
      <c r="W21">
        <v>9.08</v>
      </c>
      <c r="X21">
        <v>137.19</v>
      </c>
      <c r="Y21">
        <v>15.25</v>
      </c>
      <c r="Z21">
        <v>5.58</v>
      </c>
      <c r="AA21">
        <v>-4.47</v>
      </c>
      <c r="AB21">
        <v>1.83</v>
      </c>
      <c r="AC21">
        <v>-20.440000000000001</v>
      </c>
      <c r="AD21">
        <v>-42.09</v>
      </c>
      <c r="AE21">
        <v>-19.899999999999999</v>
      </c>
      <c r="AF21">
        <v>-1.02</v>
      </c>
      <c r="AG21">
        <v>-24.3</v>
      </c>
      <c r="AH21">
        <v>53.09</v>
      </c>
      <c r="AI21">
        <v>69.7</v>
      </c>
      <c r="AJ21">
        <v>11.94</v>
      </c>
      <c r="AK21">
        <v>-22.37</v>
      </c>
      <c r="AL21">
        <v>-16.53</v>
      </c>
      <c r="AM21">
        <v>-1.23</v>
      </c>
      <c r="AN21">
        <v>12.43</v>
      </c>
      <c r="AO21">
        <v>-8.52</v>
      </c>
      <c r="AP21">
        <v>-50.53</v>
      </c>
      <c r="AQ21">
        <v>67.25</v>
      </c>
      <c r="AR21">
        <v>13.04</v>
      </c>
      <c r="AS21">
        <v>42.29</v>
      </c>
      <c r="AT21">
        <v>99.04</v>
      </c>
      <c r="AU21">
        <v>-6.9</v>
      </c>
      <c r="AV21">
        <v>-28.63</v>
      </c>
      <c r="AW21">
        <v>-4.68</v>
      </c>
      <c r="AX21">
        <v>55.14</v>
      </c>
      <c r="AY21">
        <v>2.42</v>
      </c>
      <c r="AZ21">
        <v>1.1299999999999999</v>
      </c>
      <c r="BA21">
        <v>50.83</v>
      </c>
      <c r="BB21">
        <v>49.21</v>
      </c>
      <c r="BC21">
        <v>-6.63</v>
      </c>
      <c r="BD21">
        <v>-6.54</v>
      </c>
      <c r="BE21">
        <v>-18.05</v>
      </c>
      <c r="BF21">
        <v>-12.54</v>
      </c>
      <c r="BG21">
        <v>-30.18</v>
      </c>
      <c r="BH21">
        <v>-12.87</v>
      </c>
      <c r="BI21">
        <v>92.33</v>
      </c>
      <c r="BJ21">
        <v>-14.24</v>
      </c>
      <c r="BK21">
        <v>86.58</v>
      </c>
      <c r="BL21">
        <v>-12.96</v>
      </c>
      <c r="BM21">
        <v>25.73</v>
      </c>
      <c r="BN21">
        <v>15.7</v>
      </c>
      <c r="BO21">
        <v>39.9</v>
      </c>
    </row>
    <row r="22" spans="1:67">
      <c r="A22" s="17">
        <v>46003</v>
      </c>
      <c r="B22" s="15">
        <v>37.119999999999997</v>
      </c>
      <c r="C22" s="15">
        <v>-58.22</v>
      </c>
      <c r="D22" s="15">
        <v>28.8</v>
      </c>
      <c r="E22" s="15">
        <v>39.31</v>
      </c>
      <c r="F22" s="15">
        <v>12.65</v>
      </c>
      <c r="G22" s="15">
        <v>8.68</v>
      </c>
      <c r="H22" s="15">
        <v>-1.18</v>
      </c>
      <c r="I22" s="15">
        <v>9</v>
      </c>
      <c r="J22" s="15">
        <v>40.47</v>
      </c>
      <c r="K22" s="15">
        <v>-11.14</v>
      </c>
      <c r="L22" s="15">
        <v>57.62</v>
      </c>
      <c r="M22" s="15">
        <v>-23.86</v>
      </c>
      <c r="N22" s="15">
        <v>66.849999999999994</v>
      </c>
      <c r="O22" s="15">
        <v>1.28</v>
      </c>
      <c r="P22" s="15">
        <v>-7.97</v>
      </c>
      <c r="Q22">
        <v>1.59</v>
      </c>
      <c r="R22">
        <v>32.44</v>
      </c>
      <c r="S22">
        <v>54.15</v>
      </c>
      <c r="T22">
        <v>61.83</v>
      </c>
      <c r="U22">
        <v>61.9</v>
      </c>
      <c r="V22">
        <v>-6.14</v>
      </c>
      <c r="W22">
        <v>9.08</v>
      </c>
      <c r="X22">
        <v>137.38</v>
      </c>
      <c r="Y22">
        <v>15.11</v>
      </c>
      <c r="Z22">
        <v>5.53</v>
      </c>
      <c r="AA22">
        <v>-4.4800000000000004</v>
      </c>
      <c r="AB22">
        <v>1.65</v>
      </c>
      <c r="AC22">
        <v>-20.329999999999998</v>
      </c>
      <c r="AD22">
        <v>-42</v>
      </c>
      <c r="AE22">
        <v>-19.87</v>
      </c>
      <c r="AF22">
        <v>-1.1100000000000001</v>
      </c>
      <c r="AG22">
        <v>-24.27</v>
      </c>
      <c r="AH22">
        <v>52.52</v>
      </c>
      <c r="AI22">
        <v>68.86</v>
      </c>
      <c r="AJ22">
        <v>11.92</v>
      </c>
      <c r="AK22">
        <v>-22.35</v>
      </c>
      <c r="AL22">
        <v>-16.510000000000002</v>
      </c>
      <c r="AM22">
        <v>-0.88</v>
      </c>
      <c r="AN22">
        <v>12.5</v>
      </c>
      <c r="AO22">
        <v>-8.4600000000000009</v>
      </c>
      <c r="AP22">
        <v>-50.96</v>
      </c>
      <c r="AQ22">
        <v>67.83</v>
      </c>
      <c r="AR22">
        <v>13.13</v>
      </c>
      <c r="AS22">
        <v>42.23</v>
      </c>
      <c r="AT22">
        <v>97.86</v>
      </c>
      <c r="AU22">
        <v>-6.89</v>
      </c>
      <c r="AV22">
        <v>-28.6</v>
      </c>
      <c r="AW22">
        <v>-4.72</v>
      </c>
      <c r="AX22">
        <v>56.51</v>
      </c>
      <c r="AY22">
        <v>2.42</v>
      </c>
      <c r="AZ22">
        <v>0.88</v>
      </c>
      <c r="BA22">
        <v>50.66</v>
      </c>
      <c r="BB22">
        <v>48.98</v>
      </c>
      <c r="BC22">
        <v>-6.63</v>
      </c>
      <c r="BD22">
        <v>-6.51</v>
      </c>
      <c r="BE22">
        <v>-17.91</v>
      </c>
      <c r="BF22">
        <v>-12.52</v>
      </c>
      <c r="BG22">
        <v>-30.18</v>
      </c>
      <c r="BH22">
        <v>-12.82</v>
      </c>
      <c r="BI22">
        <v>92.44</v>
      </c>
      <c r="BJ22">
        <v>-14.57</v>
      </c>
      <c r="BK22">
        <v>86.3</v>
      </c>
      <c r="BL22">
        <v>-13.12</v>
      </c>
      <c r="BM22">
        <v>25.58</v>
      </c>
      <c r="BN22">
        <v>15.75</v>
      </c>
      <c r="BO22">
        <v>40.21</v>
      </c>
    </row>
    <row r="23" spans="1:67">
      <c r="A23" s="18">
        <v>46006</v>
      </c>
      <c r="B23" s="15">
        <v>36.99</v>
      </c>
      <c r="C23" s="15">
        <v>-58.94</v>
      </c>
      <c r="D23" s="15">
        <v>28.78</v>
      </c>
      <c r="E23" s="15">
        <v>39.32</v>
      </c>
      <c r="F23" s="15">
        <v>12.56</v>
      </c>
      <c r="G23" s="15">
        <v>8.4600000000000009</v>
      </c>
      <c r="H23" s="15">
        <v>-1.1399999999999999</v>
      </c>
      <c r="I23" s="15">
        <v>8.8000000000000007</v>
      </c>
      <c r="J23" s="15">
        <v>41.1</v>
      </c>
      <c r="K23" s="15">
        <v>-11.16</v>
      </c>
      <c r="L23" s="15">
        <v>58.54</v>
      </c>
      <c r="M23" s="15">
        <v>-23.83</v>
      </c>
      <c r="N23" s="15">
        <v>66.45</v>
      </c>
      <c r="O23" s="15">
        <v>1.27</v>
      </c>
      <c r="P23" s="15">
        <v>-7.94</v>
      </c>
      <c r="Q23">
        <v>1.66</v>
      </c>
      <c r="R23">
        <v>32.5</v>
      </c>
      <c r="S23">
        <v>53.87</v>
      </c>
      <c r="T23">
        <v>61.29</v>
      </c>
      <c r="U23">
        <v>61.99</v>
      </c>
      <c r="V23">
        <v>-6.06</v>
      </c>
      <c r="W23">
        <v>9.15</v>
      </c>
      <c r="X23">
        <v>136.97</v>
      </c>
      <c r="Y23">
        <v>14.8</v>
      </c>
      <c r="Z23">
        <v>5.55</v>
      </c>
      <c r="AA23">
        <v>-4.4400000000000004</v>
      </c>
      <c r="AB23">
        <v>1.76</v>
      </c>
      <c r="AC23">
        <v>-20.36</v>
      </c>
      <c r="AD23">
        <v>-41.91</v>
      </c>
      <c r="AE23">
        <v>-19.71</v>
      </c>
      <c r="AF23">
        <v>-1.1000000000000001</v>
      </c>
      <c r="AG23">
        <v>-24.1</v>
      </c>
      <c r="AH23">
        <v>52.23</v>
      </c>
      <c r="AI23">
        <v>68.5</v>
      </c>
      <c r="AJ23">
        <v>11.95</v>
      </c>
      <c r="AK23">
        <v>-22.2</v>
      </c>
      <c r="AL23">
        <v>-16.39</v>
      </c>
      <c r="AM23">
        <v>-0.9</v>
      </c>
      <c r="AN23">
        <v>12.58</v>
      </c>
      <c r="AO23">
        <v>-8.4499999999999993</v>
      </c>
      <c r="AP23">
        <v>-50.92</v>
      </c>
      <c r="AQ23">
        <v>67.22</v>
      </c>
      <c r="AR23">
        <v>13.23</v>
      </c>
      <c r="AS23">
        <v>42.15</v>
      </c>
      <c r="AT23">
        <v>98.38</v>
      </c>
      <c r="AU23">
        <v>-6.78</v>
      </c>
      <c r="AV23">
        <v>-28.46</v>
      </c>
      <c r="AW23">
        <v>-4.63</v>
      </c>
      <c r="AX23">
        <v>55.79</v>
      </c>
      <c r="AY23">
        <v>2.41</v>
      </c>
      <c r="AZ23">
        <v>1.05</v>
      </c>
      <c r="BA23">
        <v>50.38</v>
      </c>
      <c r="BB23">
        <v>49.01</v>
      </c>
      <c r="BC23">
        <v>-6.55</v>
      </c>
      <c r="BD23">
        <v>-6.45</v>
      </c>
      <c r="BE23">
        <v>-17.82</v>
      </c>
      <c r="BF23">
        <v>-12.4</v>
      </c>
      <c r="BG23">
        <v>-30.19</v>
      </c>
      <c r="BH23">
        <v>-12.72</v>
      </c>
      <c r="BI23">
        <v>92.52</v>
      </c>
      <c r="BJ23">
        <v>-14.66</v>
      </c>
      <c r="BK23">
        <v>85.74</v>
      </c>
      <c r="BL23">
        <v>-13.21</v>
      </c>
      <c r="BM23">
        <v>25.72</v>
      </c>
      <c r="BN23">
        <v>15.72</v>
      </c>
      <c r="BO23">
        <v>40.71</v>
      </c>
    </row>
    <row r="24" spans="1:67">
      <c r="A24" s="17">
        <v>46007</v>
      </c>
      <c r="B24" s="15">
        <v>36.479999999999997</v>
      </c>
      <c r="C24" s="15">
        <v>-60.59</v>
      </c>
      <c r="D24" s="15">
        <v>28.59</v>
      </c>
      <c r="E24" s="15">
        <v>38.78</v>
      </c>
      <c r="F24" s="15">
        <v>12.87</v>
      </c>
      <c r="G24" s="15">
        <v>8.15</v>
      </c>
      <c r="H24" s="15">
        <v>-1.2</v>
      </c>
      <c r="I24" s="15">
        <v>8.73</v>
      </c>
      <c r="J24" s="15">
        <v>40.54</v>
      </c>
      <c r="K24" s="15">
        <v>-11.17</v>
      </c>
      <c r="L24" s="15">
        <v>58.58</v>
      </c>
      <c r="M24" s="15">
        <v>-23.44</v>
      </c>
      <c r="N24" s="15">
        <v>65.84</v>
      </c>
      <c r="O24" s="15">
        <v>1.36</v>
      </c>
      <c r="P24" s="15">
        <v>-7.89</v>
      </c>
      <c r="Q24">
        <v>1.82</v>
      </c>
      <c r="R24">
        <v>32.94</v>
      </c>
      <c r="S24">
        <v>52.65</v>
      </c>
      <c r="T24">
        <v>61.04</v>
      </c>
      <c r="U24">
        <v>62.12</v>
      </c>
      <c r="V24">
        <v>-5.93</v>
      </c>
      <c r="W24">
        <v>9.1999999999999993</v>
      </c>
      <c r="X24">
        <v>137.86000000000001</v>
      </c>
      <c r="Y24">
        <v>14.63</v>
      </c>
      <c r="Z24">
        <v>5.58</v>
      </c>
      <c r="AA24">
        <v>-4.38</v>
      </c>
      <c r="AB24">
        <v>1.77</v>
      </c>
      <c r="AC24">
        <v>-20.399999999999999</v>
      </c>
      <c r="AD24">
        <v>-41.44</v>
      </c>
      <c r="AE24">
        <v>-19.12</v>
      </c>
      <c r="AF24">
        <v>-0.94</v>
      </c>
      <c r="AG24">
        <v>-23.51</v>
      </c>
      <c r="AH24">
        <v>50.82</v>
      </c>
      <c r="AI24">
        <v>67.150000000000006</v>
      </c>
      <c r="AJ24">
        <v>12.14</v>
      </c>
      <c r="AK24">
        <v>-21.86</v>
      </c>
      <c r="AL24">
        <v>-16.239999999999998</v>
      </c>
      <c r="AM24">
        <v>-1.72</v>
      </c>
      <c r="AN24">
        <v>12.6</v>
      </c>
      <c r="AO24">
        <v>-8.51</v>
      </c>
      <c r="AP24">
        <v>-51.22</v>
      </c>
      <c r="AQ24">
        <v>65.88</v>
      </c>
      <c r="AR24">
        <v>13.49</v>
      </c>
      <c r="AS24">
        <v>41.69</v>
      </c>
      <c r="AT24">
        <v>98.26</v>
      </c>
      <c r="AU24">
        <v>-6.56</v>
      </c>
      <c r="AV24">
        <v>-27.92</v>
      </c>
      <c r="AW24">
        <v>-4.58</v>
      </c>
      <c r="AX24">
        <v>54.16</v>
      </c>
      <c r="AY24">
        <v>2.4</v>
      </c>
      <c r="AZ24">
        <v>1.22</v>
      </c>
      <c r="BA24">
        <v>49.38</v>
      </c>
      <c r="BB24">
        <v>48.77</v>
      </c>
      <c r="BC24">
        <v>-6.42</v>
      </c>
      <c r="BD24">
        <v>-6.28</v>
      </c>
      <c r="BE24">
        <v>-17.440000000000001</v>
      </c>
      <c r="BF24">
        <v>-12.17</v>
      </c>
      <c r="BG24">
        <v>-30.17</v>
      </c>
      <c r="BH24">
        <v>-12.39</v>
      </c>
      <c r="BI24">
        <v>92.59</v>
      </c>
      <c r="BJ24">
        <v>-14.74</v>
      </c>
      <c r="BK24">
        <v>85.5</v>
      </c>
      <c r="BL24">
        <v>-13.36</v>
      </c>
      <c r="BM24">
        <v>25.86</v>
      </c>
      <c r="BN24">
        <v>15.77</v>
      </c>
      <c r="BO24">
        <v>41.46</v>
      </c>
    </row>
    <row r="25" spans="1:67">
      <c r="A25" s="18">
        <v>46008</v>
      </c>
      <c r="B25" s="15">
        <v>36.11</v>
      </c>
      <c r="C25" s="15">
        <v>-58.28</v>
      </c>
      <c r="D25" s="15">
        <v>29.02</v>
      </c>
      <c r="E25" s="15">
        <v>39.270000000000003</v>
      </c>
      <c r="F25" s="15">
        <v>13.51</v>
      </c>
      <c r="G25" s="15">
        <v>8.41</v>
      </c>
      <c r="H25" s="15">
        <v>-1.1299999999999999</v>
      </c>
      <c r="I25" s="15">
        <v>8.5500000000000007</v>
      </c>
      <c r="J25" s="15">
        <v>40.08</v>
      </c>
      <c r="K25" s="15">
        <v>-11.24</v>
      </c>
      <c r="L25" s="15">
        <v>59.06</v>
      </c>
      <c r="M25" s="15">
        <v>-23.98</v>
      </c>
      <c r="N25" s="15">
        <v>66.33</v>
      </c>
      <c r="O25" s="15">
        <v>1.47</v>
      </c>
      <c r="P25" s="15">
        <v>-7.98</v>
      </c>
      <c r="Q25">
        <v>1.63</v>
      </c>
      <c r="R25">
        <v>32.86</v>
      </c>
      <c r="S25">
        <v>52.44</v>
      </c>
      <c r="T25">
        <v>61.94</v>
      </c>
      <c r="U25">
        <v>62.17</v>
      </c>
      <c r="V25">
        <v>-6.08</v>
      </c>
      <c r="W25">
        <v>9.3000000000000007</v>
      </c>
      <c r="X25">
        <v>138.06</v>
      </c>
      <c r="Y25">
        <v>14.55</v>
      </c>
      <c r="Z25">
        <v>5.59</v>
      </c>
      <c r="AA25">
        <v>-4.4800000000000004</v>
      </c>
      <c r="AB25">
        <v>1.63</v>
      </c>
      <c r="AC25">
        <v>-20.239999999999998</v>
      </c>
      <c r="AD25">
        <v>-42.11</v>
      </c>
      <c r="AE25">
        <v>-19.47</v>
      </c>
      <c r="AF25">
        <v>-1.03</v>
      </c>
      <c r="AG25">
        <v>-23.89</v>
      </c>
      <c r="AH25">
        <v>49.82</v>
      </c>
      <c r="AI25">
        <v>68.8</v>
      </c>
      <c r="AJ25">
        <v>12.06</v>
      </c>
      <c r="AK25">
        <v>-22.06</v>
      </c>
      <c r="AL25">
        <v>-16.27</v>
      </c>
      <c r="AM25">
        <v>-1.6</v>
      </c>
      <c r="AN25">
        <v>12.61</v>
      </c>
      <c r="AO25">
        <v>-8.64</v>
      </c>
      <c r="AP25">
        <v>-52.77</v>
      </c>
      <c r="AQ25">
        <v>67.16</v>
      </c>
      <c r="AR25">
        <v>13.11</v>
      </c>
      <c r="AS25">
        <v>41.05</v>
      </c>
      <c r="AT25">
        <v>98.88</v>
      </c>
      <c r="AU25">
        <v>-6.56</v>
      </c>
      <c r="AV25">
        <v>-27.8</v>
      </c>
      <c r="AW25">
        <v>-4.6500000000000004</v>
      </c>
      <c r="AX25">
        <v>54.86</v>
      </c>
      <c r="AY25">
        <v>2.33</v>
      </c>
      <c r="AZ25">
        <v>1.18</v>
      </c>
      <c r="BA25">
        <v>50.66</v>
      </c>
      <c r="BB25">
        <v>48.09</v>
      </c>
      <c r="BC25">
        <v>-6.5</v>
      </c>
      <c r="BD25">
        <v>-6.44</v>
      </c>
      <c r="BE25">
        <v>-17.79</v>
      </c>
      <c r="BF25">
        <v>-12.33</v>
      </c>
      <c r="BG25">
        <v>-30.32</v>
      </c>
      <c r="BH25">
        <v>-12.62</v>
      </c>
      <c r="BI25">
        <v>93.1</v>
      </c>
      <c r="BJ25">
        <v>-14.6</v>
      </c>
      <c r="BK25">
        <v>85.43</v>
      </c>
      <c r="BL25">
        <v>-13.23</v>
      </c>
      <c r="BM25">
        <v>25.65</v>
      </c>
      <c r="BN25">
        <v>15.64</v>
      </c>
      <c r="BO25">
        <v>42.11</v>
      </c>
    </row>
    <row r="26" spans="1:67">
      <c r="A26" s="17">
        <v>46009</v>
      </c>
      <c r="B26" s="15">
        <v>36.21</v>
      </c>
      <c r="C26" s="15">
        <v>-59.54</v>
      </c>
      <c r="D26" s="15">
        <v>29.05</v>
      </c>
      <c r="E26" s="15">
        <v>39.67</v>
      </c>
      <c r="F26" s="15">
        <v>13.73</v>
      </c>
      <c r="G26" s="15">
        <v>8.32</v>
      </c>
      <c r="H26" s="15">
        <v>-1.17</v>
      </c>
      <c r="I26" s="15">
        <v>8.5</v>
      </c>
      <c r="J26" s="15">
        <v>40.200000000000003</v>
      </c>
      <c r="K26" s="15">
        <v>-11.26</v>
      </c>
      <c r="L26" s="15">
        <v>59.57</v>
      </c>
      <c r="M26" s="15">
        <v>-23.9</v>
      </c>
      <c r="N26" s="15">
        <v>65.94</v>
      </c>
      <c r="O26" s="15">
        <v>1.44</v>
      </c>
      <c r="P26" s="15">
        <v>-7.99</v>
      </c>
      <c r="Q26">
        <v>1.65</v>
      </c>
      <c r="R26">
        <v>32.97</v>
      </c>
      <c r="S26">
        <v>52.71</v>
      </c>
      <c r="T26">
        <v>61.68</v>
      </c>
      <c r="U26">
        <v>62.2</v>
      </c>
      <c r="V26">
        <v>-6.04</v>
      </c>
      <c r="W26">
        <v>9.2799999999999994</v>
      </c>
      <c r="X26">
        <v>137.71</v>
      </c>
      <c r="Y26">
        <v>14.44</v>
      </c>
      <c r="Z26">
        <v>5.57</v>
      </c>
      <c r="AA26">
        <v>-4.47</v>
      </c>
      <c r="AB26">
        <v>1.77</v>
      </c>
      <c r="AC26">
        <v>-20.2</v>
      </c>
      <c r="AD26">
        <v>-41.81</v>
      </c>
      <c r="AE26">
        <v>-19.45</v>
      </c>
      <c r="AF26">
        <v>-1.1499999999999999</v>
      </c>
      <c r="AG26">
        <v>-23.85</v>
      </c>
      <c r="AH26">
        <v>49.99</v>
      </c>
      <c r="AI26">
        <v>68.13</v>
      </c>
      <c r="AJ26">
        <v>12.09</v>
      </c>
      <c r="AK26">
        <v>-22.01</v>
      </c>
      <c r="AL26">
        <v>-16.29</v>
      </c>
      <c r="AM26">
        <v>-1.35</v>
      </c>
      <c r="AN26">
        <v>12.64</v>
      </c>
      <c r="AO26">
        <v>-8.57</v>
      </c>
      <c r="AP26">
        <v>-52.74</v>
      </c>
      <c r="AQ26">
        <v>67.05</v>
      </c>
      <c r="AR26">
        <v>12.97</v>
      </c>
      <c r="AS26">
        <v>41.13</v>
      </c>
      <c r="AT26">
        <v>98.96</v>
      </c>
      <c r="AU26">
        <v>-6.56</v>
      </c>
      <c r="AV26">
        <v>-27.8</v>
      </c>
      <c r="AW26">
        <v>-4.6399999999999997</v>
      </c>
      <c r="AX26">
        <v>55.34</v>
      </c>
      <c r="AY26">
        <v>2.37</v>
      </c>
      <c r="AZ26">
        <v>1.22</v>
      </c>
      <c r="BA26">
        <v>50.46</v>
      </c>
      <c r="BB26">
        <v>48.09</v>
      </c>
      <c r="BC26">
        <v>-6.44</v>
      </c>
      <c r="BD26">
        <v>-6.37</v>
      </c>
      <c r="BE26">
        <v>-17.71</v>
      </c>
      <c r="BF26">
        <v>-12.38</v>
      </c>
      <c r="BG26">
        <v>-30.28</v>
      </c>
      <c r="BH26">
        <v>-12.58</v>
      </c>
      <c r="BI26">
        <v>92.91</v>
      </c>
      <c r="BJ26">
        <v>-14.55</v>
      </c>
      <c r="BK26">
        <v>85.19</v>
      </c>
      <c r="BL26">
        <v>-13.34</v>
      </c>
      <c r="BM26">
        <v>25.46</v>
      </c>
      <c r="BN26">
        <v>15.62</v>
      </c>
      <c r="BO26">
        <v>42.47</v>
      </c>
    </row>
    <row r="27" spans="1:67">
      <c r="A27" s="18">
        <v>46010</v>
      </c>
      <c r="B27" s="15">
        <v>36.450000000000003</v>
      </c>
      <c r="C27" s="15">
        <v>-58.68</v>
      </c>
      <c r="D27" s="15">
        <v>29.22</v>
      </c>
      <c r="E27" s="15">
        <v>39.85</v>
      </c>
      <c r="F27" s="15">
        <v>14.03</v>
      </c>
      <c r="G27" s="15">
        <v>8.4700000000000006</v>
      </c>
      <c r="H27" s="15">
        <v>-1.0900000000000001</v>
      </c>
      <c r="I27" s="15">
        <v>8.6300000000000008</v>
      </c>
      <c r="J27" s="15">
        <v>41.01</v>
      </c>
      <c r="K27" s="15">
        <v>-11.3</v>
      </c>
      <c r="L27" s="15">
        <v>60.12</v>
      </c>
      <c r="M27" s="15">
        <v>-24.14</v>
      </c>
      <c r="N27" s="15">
        <v>66.040000000000006</v>
      </c>
      <c r="O27" s="15">
        <v>1.38</v>
      </c>
      <c r="P27" s="15">
        <v>-8.0399999999999991</v>
      </c>
      <c r="Q27">
        <v>1.55</v>
      </c>
      <c r="R27">
        <v>32.94</v>
      </c>
      <c r="S27">
        <v>53.4</v>
      </c>
      <c r="T27">
        <v>61.84</v>
      </c>
      <c r="U27">
        <v>62.48</v>
      </c>
      <c r="V27">
        <v>-6.11</v>
      </c>
      <c r="W27">
        <v>9.32</v>
      </c>
      <c r="X27">
        <v>137.81</v>
      </c>
      <c r="Y27">
        <v>14.23</v>
      </c>
      <c r="Z27">
        <v>5.59</v>
      </c>
      <c r="AA27">
        <v>-4.54</v>
      </c>
      <c r="AB27">
        <v>1.59</v>
      </c>
      <c r="AC27">
        <v>-20.23</v>
      </c>
      <c r="AD27">
        <v>-42.03</v>
      </c>
      <c r="AE27">
        <v>-19.600000000000001</v>
      </c>
      <c r="AF27">
        <v>-1.3</v>
      </c>
      <c r="AG27">
        <v>-24.05</v>
      </c>
      <c r="AH27">
        <v>50.58</v>
      </c>
      <c r="AI27">
        <v>68.84</v>
      </c>
      <c r="AJ27">
        <v>12</v>
      </c>
      <c r="AK27">
        <v>-22.15</v>
      </c>
      <c r="AL27">
        <v>-16.25</v>
      </c>
      <c r="AM27">
        <v>-1.1299999999999999</v>
      </c>
      <c r="AN27">
        <v>12.7</v>
      </c>
      <c r="AO27">
        <v>-8.65</v>
      </c>
      <c r="AP27">
        <v>-52.06</v>
      </c>
      <c r="AQ27">
        <v>67.87</v>
      </c>
      <c r="AR27">
        <v>12.72</v>
      </c>
      <c r="AS27">
        <v>41.53</v>
      </c>
      <c r="AT27">
        <v>99.46</v>
      </c>
      <c r="AU27">
        <v>-6.6</v>
      </c>
      <c r="AV27">
        <v>-27.64</v>
      </c>
      <c r="AW27">
        <v>-4.6500000000000004</v>
      </c>
      <c r="AX27">
        <v>56.44</v>
      </c>
      <c r="AY27">
        <v>2.33</v>
      </c>
      <c r="AZ27">
        <v>1.22</v>
      </c>
      <c r="BA27">
        <v>50.98</v>
      </c>
      <c r="BB27">
        <v>48.24</v>
      </c>
      <c r="BC27">
        <v>-6.48</v>
      </c>
      <c r="BD27">
        <v>-6.45</v>
      </c>
      <c r="BE27">
        <v>-17.850000000000001</v>
      </c>
      <c r="BF27">
        <v>-12.5</v>
      </c>
      <c r="BG27">
        <v>-30.34</v>
      </c>
      <c r="BH27">
        <v>-12.68</v>
      </c>
      <c r="BI27">
        <v>93.14</v>
      </c>
      <c r="BJ27">
        <v>-14.64</v>
      </c>
      <c r="BK27">
        <v>84.99</v>
      </c>
      <c r="BL27">
        <v>-13.33</v>
      </c>
      <c r="BM27">
        <v>25.89</v>
      </c>
      <c r="BN27">
        <v>15.56</v>
      </c>
      <c r="BO27">
        <v>42.86</v>
      </c>
    </row>
    <row r="28" spans="1:67">
      <c r="A28" s="17">
        <v>46013</v>
      </c>
      <c r="B28" s="15">
        <v>36.35</v>
      </c>
      <c r="C28" s="15">
        <v>-57.34</v>
      </c>
      <c r="D28" s="15">
        <v>29.83</v>
      </c>
      <c r="E28" s="15">
        <v>39.89</v>
      </c>
      <c r="F28" s="15">
        <v>13.86</v>
      </c>
      <c r="G28" s="15">
        <v>9.02</v>
      </c>
      <c r="H28" s="15">
        <v>-1.06</v>
      </c>
      <c r="I28" s="15">
        <v>8.9600000000000009</v>
      </c>
      <c r="J28" s="15">
        <v>41.03</v>
      </c>
      <c r="K28" s="15">
        <v>-11.36</v>
      </c>
      <c r="L28" s="15">
        <v>60.48</v>
      </c>
      <c r="M28" s="15">
        <v>-24.55</v>
      </c>
      <c r="N28" s="15">
        <v>66.8</v>
      </c>
      <c r="O28" s="15">
        <v>1.4</v>
      </c>
      <c r="P28" s="15">
        <v>-8.08</v>
      </c>
      <c r="Q28">
        <v>1.56</v>
      </c>
      <c r="R28">
        <v>33.19</v>
      </c>
      <c r="S28">
        <v>53.28</v>
      </c>
      <c r="T28">
        <v>62.46</v>
      </c>
      <c r="U28">
        <v>62.64</v>
      </c>
      <c r="V28">
        <v>-6.17</v>
      </c>
      <c r="W28">
        <v>9.57</v>
      </c>
      <c r="X28">
        <v>138.61000000000001</v>
      </c>
      <c r="Y28">
        <v>14.44</v>
      </c>
      <c r="Z28">
        <v>5.53</v>
      </c>
      <c r="AA28">
        <v>-4.5599999999999996</v>
      </c>
      <c r="AB28">
        <v>1.38</v>
      </c>
      <c r="AC28">
        <v>-20.149999999999999</v>
      </c>
      <c r="AD28">
        <v>-42.54</v>
      </c>
      <c r="AE28">
        <v>-19.75</v>
      </c>
      <c r="AF28">
        <v>-1.32</v>
      </c>
      <c r="AG28">
        <v>-24.32</v>
      </c>
      <c r="AH28">
        <v>50.86</v>
      </c>
      <c r="AI28">
        <v>69.959999999999994</v>
      </c>
      <c r="AJ28">
        <v>11.72</v>
      </c>
      <c r="AK28">
        <v>-22.38</v>
      </c>
      <c r="AL28">
        <v>-16.23</v>
      </c>
      <c r="AM28">
        <v>-1.48</v>
      </c>
      <c r="AN28">
        <v>12.82</v>
      </c>
      <c r="AO28">
        <v>-8.8000000000000007</v>
      </c>
      <c r="AP28">
        <v>-52.63</v>
      </c>
      <c r="AQ28">
        <v>68.2</v>
      </c>
      <c r="AR28">
        <v>12.48</v>
      </c>
      <c r="AS28">
        <v>41.22</v>
      </c>
      <c r="AT28">
        <v>99.87</v>
      </c>
      <c r="AU28">
        <v>-6.66</v>
      </c>
      <c r="AV28">
        <v>-27.62</v>
      </c>
      <c r="AW28">
        <v>-4.7300000000000004</v>
      </c>
      <c r="AX28">
        <v>55.97</v>
      </c>
      <c r="AY28">
        <v>2.29</v>
      </c>
      <c r="AZ28">
        <v>1.17</v>
      </c>
      <c r="BA28">
        <v>51.89</v>
      </c>
      <c r="BB28">
        <v>48.01</v>
      </c>
      <c r="BC28">
        <v>-6.59</v>
      </c>
      <c r="BD28">
        <v>-6.57</v>
      </c>
      <c r="BE28">
        <v>-18.07</v>
      </c>
      <c r="BF28">
        <v>-12.58</v>
      </c>
      <c r="BG28">
        <v>-30.56</v>
      </c>
      <c r="BH28">
        <v>-12.82</v>
      </c>
      <c r="BI28">
        <v>94.22</v>
      </c>
      <c r="BJ28">
        <v>-14.45</v>
      </c>
      <c r="BK28">
        <v>85.64</v>
      </c>
      <c r="BL28">
        <v>-13.37</v>
      </c>
      <c r="BM28">
        <v>25.87</v>
      </c>
      <c r="BN28">
        <v>15.53</v>
      </c>
      <c r="BO28">
        <v>43.4</v>
      </c>
    </row>
    <row r="29" spans="1:67">
      <c r="A29" s="18">
        <v>46014</v>
      </c>
      <c r="B29" s="15">
        <v>36.729999999999997</v>
      </c>
      <c r="C29" s="15">
        <v>-56.86</v>
      </c>
      <c r="D29" s="15">
        <v>29.77</v>
      </c>
      <c r="E29" s="15">
        <v>39.94</v>
      </c>
      <c r="F29" s="15">
        <v>13.51</v>
      </c>
      <c r="G29" s="15">
        <v>8.9700000000000006</v>
      </c>
      <c r="H29" s="15">
        <v>-1.0900000000000001</v>
      </c>
      <c r="I29" s="15">
        <v>9.25</v>
      </c>
      <c r="J29" s="15">
        <v>42.5</v>
      </c>
      <c r="K29" s="15">
        <v>-11.42</v>
      </c>
      <c r="L29" s="15">
        <v>60.92</v>
      </c>
      <c r="M29" s="15">
        <v>-24.8</v>
      </c>
      <c r="N29" s="15">
        <v>66.959999999999994</v>
      </c>
      <c r="O29" s="15">
        <v>1.42</v>
      </c>
      <c r="P29" s="15">
        <v>-8.1</v>
      </c>
      <c r="Q29">
        <v>1.54</v>
      </c>
      <c r="R29">
        <v>32.909999999999997</v>
      </c>
      <c r="S29">
        <v>54.07</v>
      </c>
      <c r="T29">
        <v>62.57</v>
      </c>
      <c r="U29">
        <v>62.79</v>
      </c>
      <c r="V29">
        <v>-6.2</v>
      </c>
      <c r="W29">
        <v>9.73</v>
      </c>
      <c r="X29">
        <v>139.47</v>
      </c>
      <c r="Y29">
        <v>14.45</v>
      </c>
      <c r="Z29">
        <v>5.55</v>
      </c>
      <c r="AA29">
        <v>-4.59</v>
      </c>
      <c r="AB29">
        <v>1.53</v>
      </c>
      <c r="AC29">
        <v>-20.28</v>
      </c>
      <c r="AD29">
        <v>-42.86</v>
      </c>
      <c r="AE29">
        <v>-19.87</v>
      </c>
      <c r="AF29">
        <v>-1.4</v>
      </c>
      <c r="AG29">
        <v>-24.45</v>
      </c>
      <c r="AH29">
        <v>52.08</v>
      </c>
      <c r="AI29">
        <v>70.67</v>
      </c>
      <c r="AJ29">
        <v>11.65</v>
      </c>
      <c r="AK29">
        <v>-22.48</v>
      </c>
      <c r="AL29">
        <v>-16.21</v>
      </c>
      <c r="AM29">
        <v>-1.52</v>
      </c>
      <c r="AN29">
        <v>12.71</v>
      </c>
      <c r="AO29">
        <v>-8.7899999999999991</v>
      </c>
      <c r="AP29">
        <v>-50.96</v>
      </c>
      <c r="AQ29">
        <v>68.5</v>
      </c>
      <c r="AR29">
        <v>12.51</v>
      </c>
      <c r="AS29">
        <v>41.95</v>
      </c>
      <c r="AT29">
        <v>100.6</v>
      </c>
      <c r="AU29">
        <v>-6.64</v>
      </c>
      <c r="AV29">
        <v>-27.91</v>
      </c>
      <c r="AW29">
        <v>-4.75</v>
      </c>
      <c r="AX29">
        <v>56.45</v>
      </c>
      <c r="AY29">
        <v>2.2599999999999998</v>
      </c>
      <c r="AZ29">
        <v>1.22</v>
      </c>
      <c r="BA29">
        <v>52.41</v>
      </c>
      <c r="BB29">
        <v>48.53</v>
      </c>
      <c r="BC29">
        <v>-6.63</v>
      </c>
      <c r="BD29">
        <v>-6.62</v>
      </c>
      <c r="BE29">
        <v>-18.16</v>
      </c>
      <c r="BF29">
        <v>-12.64</v>
      </c>
      <c r="BG29">
        <v>-30.68</v>
      </c>
      <c r="BH29">
        <v>-12.88</v>
      </c>
      <c r="BI29">
        <v>94.7</v>
      </c>
      <c r="BJ29">
        <v>-14.45</v>
      </c>
      <c r="BK29">
        <v>85.78</v>
      </c>
      <c r="BL29">
        <v>-13.06</v>
      </c>
      <c r="BM29">
        <v>25.67</v>
      </c>
      <c r="BN29">
        <v>15.48</v>
      </c>
      <c r="BO29">
        <v>44.49</v>
      </c>
    </row>
    <row r="30" spans="1:67">
      <c r="A30" s="17">
        <v>46015</v>
      </c>
      <c r="B30" s="15">
        <v>36.83</v>
      </c>
      <c r="C30" s="15">
        <v>-57.01</v>
      </c>
      <c r="D30" s="15">
        <v>30.16</v>
      </c>
      <c r="E30" s="15">
        <v>40.32</v>
      </c>
      <c r="F30" s="15">
        <v>13.81</v>
      </c>
      <c r="G30" s="15">
        <v>9.1999999999999993</v>
      </c>
      <c r="H30" s="15">
        <v>-1.05</v>
      </c>
      <c r="I30" s="15">
        <v>9.24</v>
      </c>
      <c r="J30" s="15">
        <v>42.83</v>
      </c>
      <c r="K30" s="15">
        <v>-11.41</v>
      </c>
      <c r="L30" s="15">
        <v>61.67</v>
      </c>
      <c r="M30" s="15">
        <v>-24.91</v>
      </c>
      <c r="N30" s="15">
        <v>67.05</v>
      </c>
      <c r="O30" s="15">
        <v>1.43</v>
      </c>
      <c r="P30" s="15">
        <v>-8.1199999999999992</v>
      </c>
      <c r="Q30">
        <v>1.44</v>
      </c>
      <c r="R30">
        <v>33.01</v>
      </c>
      <c r="S30">
        <v>54.29</v>
      </c>
      <c r="T30">
        <v>62.7</v>
      </c>
      <c r="U30">
        <v>62.68</v>
      </c>
      <c r="V30">
        <v>-6.23</v>
      </c>
      <c r="W30">
        <v>9.66</v>
      </c>
      <c r="X30">
        <v>139.38</v>
      </c>
      <c r="Y30">
        <v>14.53</v>
      </c>
      <c r="Z30">
        <v>5.58</v>
      </c>
      <c r="AA30">
        <v>-4.62</v>
      </c>
      <c r="AB30">
        <v>1.87</v>
      </c>
      <c r="AC30">
        <v>-20.3</v>
      </c>
      <c r="AD30">
        <v>-42.96</v>
      </c>
      <c r="AE30">
        <v>-20.02</v>
      </c>
      <c r="AF30">
        <v>-1.58</v>
      </c>
      <c r="AG30">
        <v>-24.59</v>
      </c>
      <c r="AH30">
        <v>52.18</v>
      </c>
      <c r="AI30">
        <v>70.77</v>
      </c>
      <c r="AJ30">
        <v>11.65</v>
      </c>
      <c r="AK30">
        <v>-22.62</v>
      </c>
      <c r="AL30">
        <v>-16.329999999999998</v>
      </c>
      <c r="AM30">
        <v>-1.29</v>
      </c>
      <c r="AN30">
        <v>12.74</v>
      </c>
      <c r="AO30">
        <v>-8.76</v>
      </c>
      <c r="AP30">
        <v>-50.88</v>
      </c>
      <c r="AQ30">
        <v>68.86</v>
      </c>
      <c r="AR30">
        <v>12.71</v>
      </c>
      <c r="AS30">
        <v>42.07</v>
      </c>
      <c r="AT30">
        <v>100.82</v>
      </c>
      <c r="AU30">
        <v>-6.72</v>
      </c>
      <c r="AV30">
        <v>-28.05</v>
      </c>
      <c r="AW30">
        <v>-4.72</v>
      </c>
      <c r="AX30">
        <v>57.26</v>
      </c>
      <c r="AY30">
        <v>2.2799999999999998</v>
      </c>
      <c r="AZ30">
        <v>1.27</v>
      </c>
      <c r="BA30">
        <v>52.34</v>
      </c>
      <c r="BB30">
        <v>48.5</v>
      </c>
      <c r="BC30">
        <v>-6.62</v>
      </c>
      <c r="BD30">
        <v>-6.62</v>
      </c>
      <c r="BE30">
        <v>-18.2</v>
      </c>
      <c r="BF30">
        <v>-12.81</v>
      </c>
      <c r="BG30">
        <v>-30.72</v>
      </c>
      <c r="BH30">
        <v>-12.96</v>
      </c>
      <c r="BI30">
        <v>94.6</v>
      </c>
      <c r="BJ30">
        <v>-14.2</v>
      </c>
      <c r="BK30">
        <v>85.65</v>
      </c>
      <c r="BL30">
        <v>-13.14</v>
      </c>
      <c r="BM30">
        <v>25.67</v>
      </c>
      <c r="BN30">
        <v>15.39</v>
      </c>
      <c r="BO30">
        <v>44.05</v>
      </c>
    </row>
    <row r="31" spans="1:67">
      <c r="A31" s="18">
        <v>46016</v>
      </c>
      <c r="B31" s="15">
        <v>36.82</v>
      </c>
      <c r="C31" s="15">
        <v>-57.02</v>
      </c>
      <c r="D31" s="15">
        <v>30.18</v>
      </c>
      <c r="E31" s="15">
        <v>40.32</v>
      </c>
      <c r="F31" s="15">
        <v>13.81</v>
      </c>
      <c r="G31" s="15">
        <v>9.1999999999999993</v>
      </c>
      <c r="H31" s="15">
        <v>-1.05</v>
      </c>
      <c r="I31" s="15">
        <v>9.24</v>
      </c>
      <c r="J31" s="15">
        <v>42.8</v>
      </c>
      <c r="K31" s="15">
        <v>-11.41</v>
      </c>
      <c r="L31" s="15">
        <v>61.87</v>
      </c>
      <c r="M31" s="15">
        <v>-24.91</v>
      </c>
      <c r="N31" s="15">
        <v>67.06</v>
      </c>
      <c r="O31" s="15">
        <v>1.44</v>
      </c>
      <c r="P31" s="15">
        <v>-8.1199999999999992</v>
      </c>
      <c r="Q31">
        <v>1.44</v>
      </c>
      <c r="R31">
        <v>33.01</v>
      </c>
      <c r="S31">
        <v>54.29</v>
      </c>
      <c r="T31">
        <v>62.7</v>
      </c>
      <c r="U31">
        <v>62.67</v>
      </c>
      <c r="V31">
        <v>-6.23</v>
      </c>
      <c r="W31">
        <v>9.66</v>
      </c>
      <c r="X31">
        <v>139.38999999999999</v>
      </c>
      <c r="Y31">
        <v>14.56</v>
      </c>
      <c r="Z31">
        <v>5.58</v>
      </c>
      <c r="AA31">
        <v>-4.62</v>
      </c>
      <c r="AB31">
        <v>1.92</v>
      </c>
      <c r="AC31">
        <v>-20.309999999999999</v>
      </c>
      <c r="AD31">
        <v>-42.96</v>
      </c>
      <c r="AE31">
        <v>-20.02</v>
      </c>
      <c r="AF31">
        <v>-1.6</v>
      </c>
      <c r="AG31">
        <v>-24.64</v>
      </c>
      <c r="AH31">
        <v>52.18</v>
      </c>
      <c r="AI31">
        <v>70.78</v>
      </c>
      <c r="AJ31">
        <v>11.65</v>
      </c>
      <c r="AK31">
        <v>-22.62</v>
      </c>
      <c r="AL31">
        <v>-16.329999999999998</v>
      </c>
      <c r="AM31">
        <v>-1.32</v>
      </c>
      <c r="AN31">
        <v>12.73</v>
      </c>
      <c r="AO31">
        <v>-8.74</v>
      </c>
      <c r="AP31">
        <v>-50.89</v>
      </c>
      <c r="AQ31">
        <v>68.86</v>
      </c>
      <c r="AR31">
        <v>12.71</v>
      </c>
      <c r="AS31">
        <v>42.07</v>
      </c>
      <c r="AT31">
        <v>100.82</v>
      </c>
      <c r="AU31">
        <v>-6.73</v>
      </c>
      <c r="AV31">
        <v>-28.1</v>
      </c>
      <c r="AW31">
        <v>-4.72</v>
      </c>
      <c r="AX31">
        <v>57.26</v>
      </c>
      <c r="AY31">
        <v>2.2799999999999998</v>
      </c>
      <c r="AZ31">
        <v>1.27</v>
      </c>
      <c r="BA31">
        <v>52.33</v>
      </c>
      <c r="BB31">
        <v>48.5</v>
      </c>
      <c r="BC31">
        <v>-6.63</v>
      </c>
      <c r="BD31">
        <v>-6.62</v>
      </c>
      <c r="BE31">
        <v>-18.2</v>
      </c>
      <c r="BF31">
        <v>-12.82</v>
      </c>
      <c r="BG31">
        <v>-30.72</v>
      </c>
      <c r="BH31">
        <v>-12.96</v>
      </c>
      <c r="BI31">
        <v>94.58</v>
      </c>
      <c r="BJ31">
        <v>-14.2</v>
      </c>
      <c r="BK31">
        <v>85.64</v>
      </c>
      <c r="BL31">
        <v>-13.13</v>
      </c>
      <c r="BM31">
        <v>25.67</v>
      </c>
      <c r="BN31">
        <v>15.39</v>
      </c>
      <c r="BO31">
        <v>44.08</v>
      </c>
    </row>
    <row r="32" spans="1:67">
      <c r="A32" s="17">
        <v>46017</v>
      </c>
      <c r="B32" s="15">
        <v>36.82</v>
      </c>
      <c r="C32" s="15">
        <v>-58.86</v>
      </c>
      <c r="D32" s="15">
        <v>29.96</v>
      </c>
      <c r="E32" s="15">
        <v>40.409999999999997</v>
      </c>
      <c r="F32" s="15">
        <v>13.83</v>
      </c>
      <c r="G32" s="15">
        <v>8.9499999999999993</v>
      </c>
      <c r="H32" s="15">
        <v>-0.97</v>
      </c>
      <c r="I32" s="15">
        <v>9.32</v>
      </c>
      <c r="J32" s="15">
        <v>42.83</v>
      </c>
      <c r="K32" s="15">
        <v>-11.44</v>
      </c>
      <c r="L32" s="15">
        <v>62.04</v>
      </c>
      <c r="M32" s="15">
        <v>-24.73</v>
      </c>
      <c r="N32" s="15">
        <v>66.61</v>
      </c>
      <c r="O32" s="15">
        <v>1.43</v>
      </c>
      <c r="P32" s="15">
        <v>-8.09</v>
      </c>
      <c r="Q32">
        <v>1.48</v>
      </c>
      <c r="R32">
        <v>32.9</v>
      </c>
      <c r="S32">
        <v>54.25</v>
      </c>
      <c r="T32">
        <v>62.21</v>
      </c>
      <c r="U32">
        <v>62.53</v>
      </c>
      <c r="V32">
        <v>-6.15</v>
      </c>
      <c r="W32">
        <v>9.7100000000000009</v>
      </c>
      <c r="X32">
        <v>139.43</v>
      </c>
      <c r="Y32">
        <v>14.56</v>
      </c>
      <c r="Z32">
        <v>5.54</v>
      </c>
      <c r="AA32">
        <v>-4.59</v>
      </c>
      <c r="AB32">
        <v>2.04</v>
      </c>
      <c r="AC32">
        <v>-20.329999999999998</v>
      </c>
      <c r="AD32">
        <v>-42.63</v>
      </c>
      <c r="AE32">
        <v>-19.89</v>
      </c>
      <c r="AF32">
        <v>-1.57</v>
      </c>
      <c r="AG32">
        <v>-24.45</v>
      </c>
      <c r="AH32">
        <v>52.19</v>
      </c>
      <c r="AI32">
        <v>69.72</v>
      </c>
      <c r="AJ32">
        <v>11.64</v>
      </c>
      <c r="AK32">
        <v>-22.55</v>
      </c>
      <c r="AL32">
        <v>-16.38</v>
      </c>
      <c r="AM32">
        <v>-1.25</v>
      </c>
      <c r="AN32">
        <v>12.57</v>
      </c>
      <c r="AO32">
        <v>-8.68</v>
      </c>
      <c r="AP32">
        <v>-50.9</v>
      </c>
      <c r="AQ32">
        <v>68.3</v>
      </c>
      <c r="AR32">
        <v>12.75</v>
      </c>
      <c r="AS32">
        <v>42.08</v>
      </c>
      <c r="AT32">
        <v>100.97</v>
      </c>
      <c r="AU32">
        <v>-6.65</v>
      </c>
      <c r="AV32">
        <v>-28.21</v>
      </c>
      <c r="AW32">
        <v>-4.67</v>
      </c>
      <c r="AX32">
        <v>57.23</v>
      </c>
      <c r="AY32">
        <v>2.34</v>
      </c>
      <c r="AZ32">
        <v>1.36</v>
      </c>
      <c r="BA32">
        <v>52.12</v>
      </c>
      <c r="BB32">
        <v>48.51</v>
      </c>
      <c r="BC32">
        <v>-6.5</v>
      </c>
      <c r="BD32">
        <v>-6.51</v>
      </c>
      <c r="BE32">
        <v>-17.97</v>
      </c>
      <c r="BF32">
        <v>-12.81</v>
      </c>
      <c r="BG32">
        <v>-30.75</v>
      </c>
      <c r="BH32">
        <v>-12.82</v>
      </c>
      <c r="BI32">
        <v>94.59</v>
      </c>
      <c r="BJ32">
        <v>-14.14</v>
      </c>
      <c r="BK32">
        <v>85.65</v>
      </c>
      <c r="BL32">
        <v>-13.02</v>
      </c>
      <c r="BM32">
        <v>25.8</v>
      </c>
      <c r="BN32">
        <v>15.42</v>
      </c>
      <c r="BO32">
        <v>44.54</v>
      </c>
    </row>
    <row r="33" spans="1:67">
      <c r="A33" s="18">
        <v>46020</v>
      </c>
      <c r="B33" s="15">
        <v>37.35</v>
      </c>
      <c r="C33" s="15">
        <v>-57.3</v>
      </c>
      <c r="D33" s="15">
        <v>29.53</v>
      </c>
      <c r="E33" s="15">
        <v>40.299999999999997</v>
      </c>
      <c r="F33" s="15">
        <v>13.81</v>
      </c>
      <c r="G33" s="15">
        <v>8.9700000000000006</v>
      </c>
      <c r="H33" s="15">
        <v>-1.2</v>
      </c>
      <c r="I33" s="15">
        <v>9.15</v>
      </c>
      <c r="J33" s="15">
        <v>43.69</v>
      </c>
      <c r="K33" s="15">
        <v>-11.25</v>
      </c>
      <c r="L33" s="15">
        <v>62.23</v>
      </c>
      <c r="M33" s="15">
        <v>-24.6</v>
      </c>
      <c r="N33" s="15">
        <v>66.52</v>
      </c>
      <c r="O33" s="15">
        <v>1.51</v>
      </c>
      <c r="P33" s="15">
        <v>-8.14</v>
      </c>
      <c r="Q33">
        <v>1.42</v>
      </c>
      <c r="R33">
        <v>32.380000000000003</v>
      </c>
      <c r="S33">
        <v>54.83</v>
      </c>
      <c r="T33">
        <v>62.45</v>
      </c>
      <c r="U33">
        <v>62.45</v>
      </c>
      <c r="V33">
        <v>-6.24</v>
      </c>
      <c r="W33">
        <v>9.17</v>
      </c>
      <c r="X33">
        <v>138.24</v>
      </c>
      <c r="Y33">
        <v>14.87</v>
      </c>
      <c r="Z33">
        <v>5.69</v>
      </c>
      <c r="AA33">
        <v>-4.6399999999999997</v>
      </c>
      <c r="AB33">
        <v>2.1</v>
      </c>
      <c r="AC33">
        <v>-20.420000000000002</v>
      </c>
      <c r="AD33">
        <v>-42.39</v>
      </c>
      <c r="AE33">
        <v>-20.05</v>
      </c>
      <c r="AF33">
        <v>-1.28</v>
      </c>
      <c r="AG33">
        <v>-24.64</v>
      </c>
      <c r="AH33">
        <v>52.72</v>
      </c>
      <c r="AI33">
        <v>70.36</v>
      </c>
      <c r="AJ33">
        <v>12.06</v>
      </c>
      <c r="AK33">
        <v>-22.44</v>
      </c>
      <c r="AL33">
        <v>-16.329999999999998</v>
      </c>
      <c r="AM33">
        <v>-1.24</v>
      </c>
      <c r="AN33">
        <v>12.6</v>
      </c>
      <c r="AO33">
        <v>-8.61</v>
      </c>
      <c r="AP33">
        <v>-49.41</v>
      </c>
      <c r="AQ33">
        <v>68.64</v>
      </c>
      <c r="AR33">
        <v>12.65</v>
      </c>
      <c r="AS33">
        <v>42.81</v>
      </c>
      <c r="AT33">
        <v>100.53</v>
      </c>
      <c r="AU33">
        <v>-6.7</v>
      </c>
      <c r="AV33">
        <v>-28.4</v>
      </c>
      <c r="AW33">
        <v>-4.6900000000000004</v>
      </c>
      <c r="AX33">
        <v>58</v>
      </c>
      <c r="AY33">
        <v>2.21</v>
      </c>
      <c r="AZ33">
        <v>1.29</v>
      </c>
      <c r="BA33">
        <v>51.45</v>
      </c>
      <c r="BB33">
        <v>49.14</v>
      </c>
      <c r="BC33">
        <v>-6.63</v>
      </c>
      <c r="BD33">
        <v>-6.56</v>
      </c>
      <c r="BE33">
        <v>-18.07</v>
      </c>
      <c r="BF33">
        <v>-12.75</v>
      </c>
      <c r="BG33">
        <v>-30.28</v>
      </c>
      <c r="BH33">
        <v>-12.88</v>
      </c>
      <c r="BI33">
        <v>92.6</v>
      </c>
      <c r="BJ33">
        <v>-14.59</v>
      </c>
      <c r="BK33">
        <v>85.54</v>
      </c>
      <c r="BL33">
        <v>-13.01</v>
      </c>
      <c r="BM33">
        <v>25.31</v>
      </c>
      <c r="BN33">
        <v>15.46</v>
      </c>
      <c r="BO33">
        <v>43.38</v>
      </c>
    </row>
    <row r="34" spans="1:67">
      <c r="A34" s="17">
        <v>46021</v>
      </c>
      <c r="B34" s="15">
        <v>36.85</v>
      </c>
      <c r="C34" s="15">
        <v>-57.45</v>
      </c>
      <c r="D34" s="15">
        <v>30.1</v>
      </c>
      <c r="E34" s="15">
        <v>40.01</v>
      </c>
      <c r="F34" s="15">
        <v>14.32</v>
      </c>
      <c r="G34" s="15">
        <v>9.06</v>
      </c>
      <c r="H34" s="15">
        <v>-1.1100000000000001</v>
      </c>
      <c r="I34" s="15">
        <v>8.91</v>
      </c>
      <c r="J34" s="15">
        <v>44.11</v>
      </c>
      <c r="K34" s="15">
        <v>-11.28</v>
      </c>
      <c r="L34" s="15">
        <v>64.319999999999993</v>
      </c>
      <c r="M34" s="15">
        <v>-24.85</v>
      </c>
      <c r="N34" s="15">
        <v>66.52</v>
      </c>
      <c r="O34" s="15">
        <v>1.56</v>
      </c>
      <c r="P34" s="15">
        <v>-8.15</v>
      </c>
      <c r="Q34">
        <v>1.54</v>
      </c>
      <c r="R34">
        <v>32.79</v>
      </c>
      <c r="S34">
        <v>53.75</v>
      </c>
      <c r="T34">
        <v>62.66</v>
      </c>
      <c r="U34">
        <v>62.44</v>
      </c>
      <c r="V34">
        <v>-6.19</v>
      </c>
      <c r="W34">
        <v>9.39</v>
      </c>
      <c r="X34">
        <v>138.32</v>
      </c>
      <c r="Y34">
        <v>14.87</v>
      </c>
      <c r="Z34">
        <v>5.79</v>
      </c>
      <c r="AA34">
        <v>-4.63</v>
      </c>
      <c r="AB34">
        <v>2.16</v>
      </c>
      <c r="AC34">
        <v>-20.34</v>
      </c>
      <c r="AD34">
        <v>-42.61</v>
      </c>
      <c r="AE34">
        <v>-19.920000000000002</v>
      </c>
      <c r="AF34">
        <v>-1.28</v>
      </c>
      <c r="AG34">
        <v>-24.55</v>
      </c>
      <c r="AH34">
        <v>51.72</v>
      </c>
      <c r="AI34">
        <v>71.03</v>
      </c>
      <c r="AJ34">
        <v>11.96</v>
      </c>
      <c r="AK34">
        <v>-22.39</v>
      </c>
      <c r="AL34">
        <v>-16.190000000000001</v>
      </c>
      <c r="AM34">
        <v>-1.68</v>
      </c>
      <c r="AN34">
        <v>12.89</v>
      </c>
      <c r="AO34">
        <v>-8.66</v>
      </c>
      <c r="AP34">
        <v>-50.94</v>
      </c>
      <c r="AQ34">
        <v>68.03</v>
      </c>
      <c r="AR34">
        <v>12.81</v>
      </c>
      <c r="AS34">
        <v>41.92</v>
      </c>
      <c r="AT34">
        <v>101.78</v>
      </c>
      <c r="AU34">
        <v>-6.56</v>
      </c>
      <c r="AV34">
        <v>-28.11</v>
      </c>
      <c r="AW34">
        <v>-4.6100000000000003</v>
      </c>
      <c r="AX34">
        <v>56.3</v>
      </c>
      <c r="AY34">
        <v>2.1800000000000002</v>
      </c>
      <c r="AZ34">
        <v>1.55</v>
      </c>
      <c r="BA34">
        <v>51.81</v>
      </c>
      <c r="BB34">
        <v>48.56</v>
      </c>
      <c r="BC34">
        <v>-6.59</v>
      </c>
      <c r="BD34">
        <v>-6.57</v>
      </c>
      <c r="BE34">
        <v>-18.170000000000002</v>
      </c>
      <c r="BF34">
        <v>-12.74</v>
      </c>
      <c r="BG34">
        <v>-30.42</v>
      </c>
      <c r="BH34">
        <v>-12.84</v>
      </c>
      <c r="BI34">
        <v>93.22</v>
      </c>
      <c r="BJ34">
        <v>-14.53</v>
      </c>
      <c r="BK34">
        <v>85.52</v>
      </c>
      <c r="BL34">
        <v>-13.34</v>
      </c>
      <c r="BM34">
        <v>25.84</v>
      </c>
      <c r="BN34">
        <v>15.4</v>
      </c>
      <c r="BO34">
        <v>44.22</v>
      </c>
    </row>
    <row r="35" spans="1:67">
      <c r="A35" s="18">
        <v>46022</v>
      </c>
      <c r="B35" s="15">
        <v>36.92</v>
      </c>
      <c r="C35" s="15">
        <v>-58.27</v>
      </c>
      <c r="D35" s="15">
        <v>30</v>
      </c>
      <c r="E35" s="15">
        <v>40.130000000000003</v>
      </c>
      <c r="F35" s="15">
        <v>14.58</v>
      </c>
      <c r="G35" s="15">
        <v>8.91</v>
      </c>
      <c r="H35" s="15">
        <v>-1.1100000000000001</v>
      </c>
      <c r="I35" s="15">
        <v>8.64</v>
      </c>
      <c r="J35" s="15">
        <v>43.59</v>
      </c>
      <c r="K35" s="15">
        <v>-11.24</v>
      </c>
      <c r="L35" s="15">
        <v>63.89</v>
      </c>
      <c r="M35" s="15">
        <v>-24.52</v>
      </c>
      <c r="N35" s="15">
        <v>66.31</v>
      </c>
      <c r="O35" s="15">
        <v>1.71</v>
      </c>
      <c r="P35" s="15">
        <v>-8.1300000000000008</v>
      </c>
      <c r="Q35">
        <v>1.54</v>
      </c>
      <c r="R35">
        <v>33.130000000000003</v>
      </c>
      <c r="S35">
        <v>53.78</v>
      </c>
      <c r="T35">
        <v>62.72</v>
      </c>
      <c r="U35">
        <v>62.46</v>
      </c>
      <c r="V35">
        <v>-6.16</v>
      </c>
      <c r="W35">
        <v>9.2200000000000006</v>
      </c>
      <c r="X35">
        <v>137.88999999999999</v>
      </c>
      <c r="Y35">
        <v>15.14</v>
      </c>
      <c r="Z35">
        <v>5.69</v>
      </c>
      <c r="AA35">
        <v>-4.6100000000000003</v>
      </c>
      <c r="AB35">
        <v>2.2400000000000002</v>
      </c>
      <c r="AC35">
        <v>-20.37</v>
      </c>
      <c r="AD35">
        <v>-42.17</v>
      </c>
      <c r="AE35">
        <v>-19.86</v>
      </c>
      <c r="AF35">
        <v>-1.27</v>
      </c>
      <c r="AG35">
        <v>-24.5</v>
      </c>
      <c r="AH35">
        <v>51.56</v>
      </c>
      <c r="AI35">
        <v>70.03</v>
      </c>
      <c r="AJ35">
        <v>12.12</v>
      </c>
      <c r="AK35">
        <v>-22.3</v>
      </c>
      <c r="AL35">
        <v>-16.25</v>
      </c>
      <c r="AM35">
        <v>-1.39</v>
      </c>
      <c r="AN35">
        <v>12.86</v>
      </c>
      <c r="AO35">
        <v>-8.56</v>
      </c>
      <c r="AP35">
        <v>-50.64</v>
      </c>
      <c r="AQ35">
        <v>67.78</v>
      </c>
      <c r="AR35">
        <v>13.1</v>
      </c>
      <c r="AS35">
        <v>42.07</v>
      </c>
      <c r="AT35">
        <v>100.96</v>
      </c>
      <c r="AU35">
        <v>-6.54</v>
      </c>
      <c r="AV35">
        <v>-28.1</v>
      </c>
      <c r="AW35">
        <v>-4.63</v>
      </c>
      <c r="AX35">
        <v>56.47</v>
      </c>
      <c r="AY35">
        <v>2.2000000000000002</v>
      </c>
      <c r="AZ35">
        <v>1.47</v>
      </c>
      <c r="BA35">
        <v>51.02</v>
      </c>
      <c r="BB35">
        <v>48.68</v>
      </c>
      <c r="BC35">
        <v>-6.59</v>
      </c>
      <c r="BD35">
        <v>-6.49</v>
      </c>
      <c r="BE35">
        <v>-17.96</v>
      </c>
      <c r="BF35">
        <v>-12.66</v>
      </c>
      <c r="BG35">
        <v>-30.27</v>
      </c>
      <c r="BH35">
        <v>-12.79</v>
      </c>
      <c r="BI35">
        <v>92.59</v>
      </c>
      <c r="BJ35">
        <v>-14.63</v>
      </c>
      <c r="BK35">
        <v>85.29</v>
      </c>
      <c r="BL35">
        <v>-13.58</v>
      </c>
      <c r="BM35">
        <v>25.81</v>
      </c>
      <c r="BN35">
        <v>15.44</v>
      </c>
      <c r="BO35">
        <v>43.29</v>
      </c>
    </row>
    <row r="36" spans="1:67">
      <c r="A36" s="17">
        <v>46023</v>
      </c>
      <c r="B36" s="15">
        <v>36.92</v>
      </c>
      <c r="C36" s="15">
        <v>-58.27</v>
      </c>
      <c r="D36" s="15">
        <v>30</v>
      </c>
      <c r="E36" s="15">
        <v>40.130000000000003</v>
      </c>
      <c r="F36" s="15">
        <v>14.58</v>
      </c>
      <c r="G36" s="15">
        <v>8.91</v>
      </c>
      <c r="H36" s="15">
        <v>-1.1100000000000001</v>
      </c>
      <c r="I36" s="15">
        <v>8.64</v>
      </c>
      <c r="J36" s="15">
        <v>43.56</v>
      </c>
      <c r="K36" s="15">
        <v>-11.24</v>
      </c>
      <c r="L36" s="15">
        <v>63.91</v>
      </c>
      <c r="M36" s="15">
        <v>-24.52</v>
      </c>
      <c r="N36" s="15">
        <v>66.3</v>
      </c>
      <c r="O36" s="15">
        <v>1.71</v>
      </c>
      <c r="P36" s="15">
        <v>-8.1300000000000008</v>
      </c>
      <c r="Q36">
        <v>1.54</v>
      </c>
      <c r="R36">
        <v>33.130000000000003</v>
      </c>
      <c r="S36">
        <v>53.78</v>
      </c>
      <c r="T36">
        <v>62.72</v>
      </c>
      <c r="U36">
        <v>62.46</v>
      </c>
      <c r="V36">
        <v>-6.16</v>
      </c>
      <c r="W36">
        <v>9.2200000000000006</v>
      </c>
      <c r="X36">
        <v>137.88999999999999</v>
      </c>
      <c r="Y36">
        <v>15.14</v>
      </c>
      <c r="Z36">
        <v>5.69</v>
      </c>
      <c r="AA36">
        <v>-4.6100000000000003</v>
      </c>
      <c r="AB36">
        <v>2.2200000000000002</v>
      </c>
      <c r="AC36">
        <v>-20.37</v>
      </c>
      <c r="AD36">
        <v>-42.17</v>
      </c>
      <c r="AE36">
        <v>-19.86</v>
      </c>
      <c r="AF36">
        <v>-1.27</v>
      </c>
      <c r="AG36">
        <v>-24.5</v>
      </c>
      <c r="AH36">
        <v>51.56</v>
      </c>
      <c r="AI36">
        <v>70.040000000000006</v>
      </c>
      <c r="AJ36">
        <v>12.12</v>
      </c>
      <c r="AK36">
        <v>-22.3</v>
      </c>
      <c r="AL36">
        <v>-16.25</v>
      </c>
      <c r="AM36">
        <v>-1.39</v>
      </c>
      <c r="AN36">
        <v>12.86</v>
      </c>
      <c r="AO36">
        <v>-8.56</v>
      </c>
      <c r="AP36">
        <v>-50.65</v>
      </c>
      <c r="AQ36">
        <v>67.78</v>
      </c>
      <c r="AR36">
        <v>13.1</v>
      </c>
      <c r="AS36">
        <v>42.07</v>
      </c>
      <c r="AT36">
        <v>100.96</v>
      </c>
      <c r="AU36">
        <v>-6.54</v>
      </c>
      <c r="AV36">
        <v>-28.1</v>
      </c>
      <c r="AW36">
        <v>-4.63</v>
      </c>
      <c r="AX36">
        <v>56.47</v>
      </c>
      <c r="AY36">
        <v>2.2000000000000002</v>
      </c>
      <c r="AZ36">
        <v>1.48</v>
      </c>
      <c r="BA36">
        <v>51.02</v>
      </c>
      <c r="BB36">
        <v>48.68</v>
      </c>
      <c r="BC36">
        <v>-6.59</v>
      </c>
      <c r="BD36">
        <v>-6.49</v>
      </c>
      <c r="BE36">
        <v>-17.96</v>
      </c>
      <c r="BF36">
        <v>-12.66</v>
      </c>
      <c r="BG36">
        <v>-30.27</v>
      </c>
      <c r="BH36">
        <v>-12.79</v>
      </c>
      <c r="BI36">
        <v>92.59</v>
      </c>
      <c r="BJ36">
        <v>-14.63</v>
      </c>
      <c r="BK36">
        <v>85.29</v>
      </c>
      <c r="BL36">
        <v>-13.57</v>
      </c>
      <c r="BM36">
        <v>25.81</v>
      </c>
      <c r="BN36">
        <v>15.44</v>
      </c>
      <c r="BO36">
        <v>43.29</v>
      </c>
    </row>
    <row r="37" spans="1:67">
      <c r="A37" s="18">
        <v>46024</v>
      </c>
      <c r="B37" s="15">
        <v>36.979999999999997</v>
      </c>
      <c r="C37" s="15">
        <v>-58</v>
      </c>
      <c r="D37" s="15">
        <v>30.38</v>
      </c>
      <c r="E37" s="15">
        <v>40.24</v>
      </c>
      <c r="F37" s="15">
        <v>14.85</v>
      </c>
      <c r="G37" s="15">
        <v>9.06</v>
      </c>
      <c r="H37" s="15">
        <v>-0.91</v>
      </c>
      <c r="I37" s="15">
        <v>8.6300000000000008</v>
      </c>
      <c r="J37" s="15">
        <v>43.79</v>
      </c>
      <c r="K37" s="15">
        <v>-11.23</v>
      </c>
      <c r="L37" s="15">
        <v>64.23</v>
      </c>
      <c r="M37" s="15">
        <v>-24.61</v>
      </c>
      <c r="N37" s="15">
        <v>66.459999999999994</v>
      </c>
      <c r="O37" s="15">
        <v>1.89</v>
      </c>
      <c r="P37" s="15">
        <v>-8.16</v>
      </c>
      <c r="Q37">
        <v>1.35</v>
      </c>
      <c r="R37">
        <v>33.159999999999997</v>
      </c>
      <c r="S37">
        <v>54.18</v>
      </c>
      <c r="T37">
        <v>62.53</v>
      </c>
      <c r="U37">
        <v>62.41</v>
      </c>
      <c r="V37">
        <v>-6.22</v>
      </c>
      <c r="W37">
        <v>9.16</v>
      </c>
      <c r="X37">
        <v>137.54</v>
      </c>
      <c r="Y37">
        <v>15.47</v>
      </c>
      <c r="Z37">
        <v>5.71</v>
      </c>
      <c r="AA37">
        <v>-4.67</v>
      </c>
      <c r="AB37">
        <v>2.2599999999999998</v>
      </c>
      <c r="AC37">
        <v>-20.440000000000001</v>
      </c>
      <c r="AD37">
        <v>-42.18</v>
      </c>
      <c r="AE37">
        <v>-20.010000000000002</v>
      </c>
      <c r="AF37">
        <v>-1.04</v>
      </c>
      <c r="AG37">
        <v>-24.62</v>
      </c>
      <c r="AH37">
        <v>51.36</v>
      </c>
      <c r="AI37">
        <v>70.14</v>
      </c>
      <c r="AJ37">
        <v>12.13</v>
      </c>
      <c r="AK37">
        <v>-22.24</v>
      </c>
      <c r="AL37">
        <v>-16.37</v>
      </c>
      <c r="AM37">
        <v>-0.88</v>
      </c>
      <c r="AN37">
        <v>12.94</v>
      </c>
      <c r="AO37">
        <v>-8.4600000000000009</v>
      </c>
      <c r="AP37">
        <v>-50.32</v>
      </c>
      <c r="AQ37">
        <v>68.540000000000006</v>
      </c>
      <c r="AR37">
        <v>13.49</v>
      </c>
      <c r="AS37">
        <v>42.33</v>
      </c>
      <c r="AT37">
        <v>101.01</v>
      </c>
      <c r="AU37">
        <v>-6.53</v>
      </c>
      <c r="AV37">
        <v>-28.11</v>
      </c>
      <c r="AW37">
        <v>-4.63</v>
      </c>
      <c r="AX37">
        <v>57.81</v>
      </c>
      <c r="AY37">
        <v>2.19</v>
      </c>
      <c r="AZ37">
        <v>1.45</v>
      </c>
      <c r="BA37">
        <v>51.19</v>
      </c>
      <c r="BB37">
        <v>48.66</v>
      </c>
      <c r="BC37">
        <v>-6.57</v>
      </c>
      <c r="BD37">
        <v>-6.52</v>
      </c>
      <c r="BE37">
        <v>-18.010000000000002</v>
      </c>
      <c r="BF37">
        <v>-12.8</v>
      </c>
      <c r="BG37">
        <v>-30.26</v>
      </c>
      <c r="BH37">
        <v>-12.84</v>
      </c>
      <c r="BI37">
        <v>92.59</v>
      </c>
      <c r="BJ37">
        <v>-14.64</v>
      </c>
      <c r="BK37">
        <v>85.68</v>
      </c>
      <c r="BL37">
        <v>-13.7</v>
      </c>
      <c r="BM37">
        <v>26.77</v>
      </c>
      <c r="BN37">
        <v>15.5</v>
      </c>
      <c r="BO37">
        <v>43.95</v>
      </c>
    </row>
    <row r="38" spans="1:67">
      <c r="A38" s="17">
        <v>46027</v>
      </c>
      <c r="B38" s="15">
        <v>36.17</v>
      </c>
      <c r="C38" s="15">
        <v>-57.46</v>
      </c>
      <c r="D38" s="15">
        <v>30.93</v>
      </c>
      <c r="E38" s="15">
        <v>40.159999999999997</v>
      </c>
      <c r="F38" s="15">
        <v>15.84</v>
      </c>
      <c r="G38" s="15">
        <v>9.64</v>
      </c>
      <c r="H38" s="15">
        <v>-0.95</v>
      </c>
      <c r="I38" s="15">
        <v>8.8000000000000007</v>
      </c>
      <c r="J38" s="15">
        <v>44.62</v>
      </c>
      <c r="K38" s="15">
        <v>-11.33</v>
      </c>
      <c r="L38" s="15">
        <v>66.67</v>
      </c>
      <c r="M38" s="15">
        <v>-25.23</v>
      </c>
      <c r="N38" s="15">
        <v>67.02</v>
      </c>
      <c r="O38" s="15">
        <v>1.83</v>
      </c>
      <c r="P38" s="15">
        <v>-8.19</v>
      </c>
      <c r="Q38">
        <v>1.58</v>
      </c>
      <c r="R38">
        <v>33.76</v>
      </c>
      <c r="S38">
        <v>52.21</v>
      </c>
      <c r="T38">
        <v>63.55</v>
      </c>
      <c r="U38">
        <v>62.42</v>
      </c>
      <c r="V38">
        <v>-6.19</v>
      </c>
      <c r="W38">
        <v>9.6</v>
      </c>
      <c r="X38">
        <v>139.22999999999999</v>
      </c>
      <c r="Y38">
        <v>15.43</v>
      </c>
      <c r="Z38">
        <v>5.71</v>
      </c>
      <c r="AA38">
        <v>-4.6399999999999997</v>
      </c>
      <c r="AB38">
        <v>2.02</v>
      </c>
      <c r="AC38">
        <v>-20.34</v>
      </c>
      <c r="AD38">
        <v>-42.67</v>
      </c>
      <c r="AE38">
        <v>-19.95</v>
      </c>
      <c r="AF38">
        <v>-1.07</v>
      </c>
      <c r="AG38">
        <v>-24.62</v>
      </c>
      <c r="AH38">
        <v>50.07</v>
      </c>
      <c r="AI38">
        <v>71.5</v>
      </c>
      <c r="AJ38">
        <v>11.84</v>
      </c>
      <c r="AK38">
        <v>-22.37</v>
      </c>
      <c r="AL38">
        <v>-16.3</v>
      </c>
      <c r="AM38">
        <v>-1.44</v>
      </c>
      <c r="AN38">
        <v>13.13</v>
      </c>
      <c r="AO38">
        <v>-8.8000000000000007</v>
      </c>
      <c r="AP38">
        <v>-52.54</v>
      </c>
      <c r="AQ38">
        <v>67.52</v>
      </c>
      <c r="AR38">
        <v>14.01</v>
      </c>
      <c r="AS38">
        <v>40.89</v>
      </c>
      <c r="AT38">
        <v>103.22</v>
      </c>
      <c r="AU38">
        <v>-6.46</v>
      </c>
      <c r="AV38">
        <v>-27.22</v>
      </c>
      <c r="AW38">
        <v>-4.5999999999999996</v>
      </c>
      <c r="AX38">
        <v>54.63</v>
      </c>
      <c r="AY38">
        <v>2.1800000000000002</v>
      </c>
      <c r="AZ38">
        <v>1.8</v>
      </c>
      <c r="BA38">
        <v>52.02</v>
      </c>
      <c r="BB38">
        <v>47.73</v>
      </c>
      <c r="BC38">
        <v>-6.58</v>
      </c>
      <c r="BD38">
        <v>-6.59</v>
      </c>
      <c r="BE38">
        <v>-18.13</v>
      </c>
      <c r="BF38">
        <v>-12.87</v>
      </c>
      <c r="BG38">
        <v>-30.65</v>
      </c>
      <c r="BH38">
        <v>-12.89</v>
      </c>
      <c r="BI38">
        <v>94.38</v>
      </c>
      <c r="BJ38">
        <v>-14.17</v>
      </c>
      <c r="BK38">
        <v>86.34</v>
      </c>
      <c r="BL38">
        <v>-13.78</v>
      </c>
      <c r="BM38">
        <v>27.08</v>
      </c>
      <c r="BN38">
        <v>15.42</v>
      </c>
      <c r="BO38">
        <v>45.03</v>
      </c>
    </row>
    <row r="39" spans="1:67">
      <c r="A39" s="18">
        <v>46028</v>
      </c>
      <c r="B39" s="15">
        <v>36.07</v>
      </c>
      <c r="C39" s="15">
        <v>-58.75</v>
      </c>
      <c r="D39" s="15">
        <v>31.07</v>
      </c>
      <c r="E39" s="15">
        <v>40.93</v>
      </c>
      <c r="F39" s="15">
        <v>16.34</v>
      </c>
      <c r="G39" s="15">
        <v>9.8000000000000007</v>
      </c>
      <c r="H39" s="15">
        <v>-0.97</v>
      </c>
      <c r="I39" s="15">
        <v>8.5</v>
      </c>
      <c r="J39" s="15">
        <v>45.41</v>
      </c>
      <c r="K39" s="15">
        <v>-11.36</v>
      </c>
      <c r="L39" s="15">
        <v>68.09</v>
      </c>
      <c r="M39" s="15">
        <v>-25.4</v>
      </c>
      <c r="N39" s="15">
        <v>67.540000000000006</v>
      </c>
      <c r="O39" s="15">
        <v>2.09</v>
      </c>
      <c r="P39" s="15">
        <v>-8.24</v>
      </c>
      <c r="Q39">
        <v>1.5</v>
      </c>
      <c r="R39">
        <v>34.049999999999997</v>
      </c>
      <c r="S39">
        <v>52.3</v>
      </c>
      <c r="T39">
        <v>63.28</v>
      </c>
      <c r="U39">
        <v>62.62</v>
      </c>
      <c r="V39">
        <v>-6.18</v>
      </c>
      <c r="W39">
        <v>9.75</v>
      </c>
      <c r="X39">
        <v>139.82</v>
      </c>
      <c r="Y39">
        <v>16.059999999999999</v>
      </c>
      <c r="Z39">
        <v>5.74</v>
      </c>
      <c r="AA39">
        <v>-4.6900000000000004</v>
      </c>
      <c r="AB39">
        <v>2.42</v>
      </c>
      <c r="AC39">
        <v>-20.399999999999999</v>
      </c>
      <c r="AD39">
        <v>-42.7</v>
      </c>
      <c r="AE39">
        <v>-20</v>
      </c>
      <c r="AF39">
        <v>-0.78</v>
      </c>
      <c r="AG39">
        <v>-24.61</v>
      </c>
      <c r="AH39">
        <v>49.69</v>
      </c>
      <c r="AI39">
        <v>71.099999999999994</v>
      </c>
      <c r="AJ39">
        <v>11.86</v>
      </c>
      <c r="AK39">
        <v>-22.38</v>
      </c>
      <c r="AL39">
        <v>-16.309999999999999</v>
      </c>
      <c r="AM39">
        <v>-0.99</v>
      </c>
      <c r="AN39">
        <v>13.21</v>
      </c>
      <c r="AO39">
        <v>-8.7899999999999991</v>
      </c>
      <c r="AP39">
        <v>-52.22</v>
      </c>
      <c r="AQ39">
        <v>67.7</v>
      </c>
      <c r="AR39">
        <v>14.19</v>
      </c>
      <c r="AS39">
        <v>40.98</v>
      </c>
      <c r="AT39">
        <v>104.43</v>
      </c>
      <c r="AU39">
        <v>-6.33</v>
      </c>
      <c r="AV39">
        <v>-27.15</v>
      </c>
      <c r="AW39">
        <v>-4.54</v>
      </c>
      <c r="AX39">
        <v>55.49</v>
      </c>
      <c r="AY39">
        <v>2.1800000000000002</v>
      </c>
      <c r="AZ39">
        <v>1.95</v>
      </c>
      <c r="BA39">
        <v>52.04</v>
      </c>
      <c r="BB39">
        <v>47.57</v>
      </c>
      <c r="BC39">
        <v>-6.5</v>
      </c>
      <c r="BD39">
        <v>-6.54</v>
      </c>
      <c r="BE39">
        <v>-18.059999999999999</v>
      </c>
      <c r="BF39">
        <v>-13.02</v>
      </c>
      <c r="BG39">
        <v>-30.84</v>
      </c>
      <c r="BH39">
        <v>-12.9</v>
      </c>
      <c r="BI39">
        <v>95.27</v>
      </c>
      <c r="BJ39">
        <v>-14.17</v>
      </c>
      <c r="BK39">
        <v>87.31</v>
      </c>
      <c r="BL39">
        <v>-13.89</v>
      </c>
      <c r="BM39">
        <v>27.6</v>
      </c>
      <c r="BN39">
        <v>15.44</v>
      </c>
      <c r="BO39">
        <v>46.38</v>
      </c>
    </row>
    <row r="40" spans="1:67">
      <c r="A40" s="17">
        <v>46029</v>
      </c>
      <c r="B40" s="15">
        <v>36.090000000000003</v>
      </c>
      <c r="C40" s="15">
        <v>-59.03</v>
      </c>
      <c r="D40" s="15">
        <v>30.88</v>
      </c>
      <c r="E40" s="15">
        <v>41.32</v>
      </c>
      <c r="F40" s="15">
        <v>15.94</v>
      </c>
      <c r="G40" s="15">
        <v>10.1</v>
      </c>
      <c r="H40" s="15">
        <v>-1.05</v>
      </c>
      <c r="I40" s="15">
        <v>8.15</v>
      </c>
      <c r="J40" s="15">
        <v>44.04</v>
      </c>
      <c r="K40" s="15">
        <v>-11.31</v>
      </c>
      <c r="L40" s="15">
        <v>66.760000000000005</v>
      </c>
      <c r="M40" s="15">
        <v>-25.2</v>
      </c>
      <c r="N40" s="15">
        <v>67.349999999999994</v>
      </c>
      <c r="O40" s="15">
        <v>2.08</v>
      </c>
      <c r="P40" s="15">
        <v>-8.2200000000000006</v>
      </c>
      <c r="Q40">
        <v>1.45</v>
      </c>
      <c r="R40">
        <v>33.81</v>
      </c>
      <c r="S40">
        <v>52.28</v>
      </c>
      <c r="T40">
        <v>62.94</v>
      </c>
      <c r="U40">
        <v>62.58</v>
      </c>
      <c r="V40">
        <v>-6.2</v>
      </c>
      <c r="W40">
        <v>9.57</v>
      </c>
      <c r="X40">
        <v>139.25</v>
      </c>
      <c r="Y40">
        <v>16.190000000000001</v>
      </c>
      <c r="Z40">
        <v>5.7</v>
      </c>
      <c r="AA40">
        <v>-4.68</v>
      </c>
      <c r="AB40">
        <v>2.36</v>
      </c>
      <c r="AC40">
        <v>-20.36</v>
      </c>
      <c r="AD40">
        <v>-42.43</v>
      </c>
      <c r="AE40">
        <v>-19.95</v>
      </c>
      <c r="AF40">
        <v>-0.81</v>
      </c>
      <c r="AG40">
        <v>-24.63</v>
      </c>
      <c r="AH40">
        <v>49.46</v>
      </c>
      <c r="AI40">
        <v>70.44</v>
      </c>
      <c r="AJ40">
        <v>11.94</v>
      </c>
      <c r="AK40">
        <v>-22.44</v>
      </c>
      <c r="AL40">
        <v>-16.34</v>
      </c>
      <c r="AM40">
        <v>-0.89</v>
      </c>
      <c r="AN40">
        <v>13.01</v>
      </c>
      <c r="AO40">
        <v>-8.74</v>
      </c>
      <c r="AP40">
        <v>-52.36</v>
      </c>
      <c r="AQ40">
        <v>68.33</v>
      </c>
      <c r="AR40">
        <v>14.41</v>
      </c>
      <c r="AS40">
        <v>41.03</v>
      </c>
      <c r="AT40">
        <v>103.26</v>
      </c>
      <c r="AU40">
        <v>-6.45</v>
      </c>
      <c r="AV40">
        <v>-27.27</v>
      </c>
      <c r="AW40">
        <v>-4.5999999999999996</v>
      </c>
      <c r="AX40">
        <v>56.32</v>
      </c>
      <c r="AY40">
        <v>2.2000000000000002</v>
      </c>
      <c r="AZ40">
        <v>1.72</v>
      </c>
      <c r="BA40">
        <v>51.5</v>
      </c>
      <c r="BB40">
        <v>47.52</v>
      </c>
      <c r="BC40">
        <v>-6.5</v>
      </c>
      <c r="BD40">
        <v>-6.5</v>
      </c>
      <c r="BE40">
        <v>-17.96</v>
      </c>
      <c r="BF40">
        <v>-13.06</v>
      </c>
      <c r="BG40">
        <v>-30.72</v>
      </c>
      <c r="BH40">
        <v>-12.87</v>
      </c>
      <c r="BI40">
        <v>94.7</v>
      </c>
      <c r="BJ40">
        <v>-13.98</v>
      </c>
      <c r="BK40">
        <v>87.26</v>
      </c>
      <c r="BL40">
        <v>-13.77</v>
      </c>
      <c r="BM40">
        <v>27.3</v>
      </c>
      <c r="BN40">
        <v>15.45</v>
      </c>
      <c r="BO40">
        <v>45.43</v>
      </c>
    </row>
    <row r="41" spans="1:67">
      <c r="A41" s="18">
        <v>46030</v>
      </c>
      <c r="B41" s="15">
        <v>35.89</v>
      </c>
      <c r="C41" s="15">
        <v>-56.98</v>
      </c>
      <c r="D41" s="15">
        <v>31.42</v>
      </c>
      <c r="E41" s="15">
        <v>40.86</v>
      </c>
      <c r="F41" s="15">
        <v>16.2</v>
      </c>
      <c r="G41" s="15">
        <v>10.220000000000001</v>
      </c>
      <c r="H41" s="15">
        <v>-0.82</v>
      </c>
      <c r="I41" s="15">
        <v>8.36</v>
      </c>
      <c r="J41" s="15">
        <v>42.48</v>
      </c>
      <c r="K41" s="15">
        <v>-11.33</v>
      </c>
      <c r="L41" s="15">
        <v>66.069999999999993</v>
      </c>
      <c r="M41" s="15">
        <v>-25.37</v>
      </c>
      <c r="N41" s="15">
        <v>67.849999999999994</v>
      </c>
      <c r="O41" s="15">
        <v>1.94</v>
      </c>
      <c r="P41" s="15">
        <v>-8.2100000000000009</v>
      </c>
      <c r="Q41">
        <v>1.57</v>
      </c>
      <c r="R41">
        <v>33.67</v>
      </c>
      <c r="S41">
        <v>51.53</v>
      </c>
      <c r="T41">
        <v>63.72</v>
      </c>
      <c r="U41">
        <v>62.33</v>
      </c>
      <c r="V41">
        <v>-6.24</v>
      </c>
      <c r="W41">
        <v>9.64</v>
      </c>
      <c r="X41">
        <v>138.56</v>
      </c>
      <c r="Y41">
        <v>15.97</v>
      </c>
      <c r="Z41">
        <v>5.65</v>
      </c>
      <c r="AA41">
        <v>-4.66</v>
      </c>
      <c r="AB41">
        <v>2.15</v>
      </c>
      <c r="AC41">
        <v>-20.13</v>
      </c>
      <c r="AD41">
        <v>-42.82</v>
      </c>
      <c r="AE41">
        <v>-20.22</v>
      </c>
      <c r="AF41">
        <v>-1.1000000000000001</v>
      </c>
      <c r="AG41">
        <v>-25.03</v>
      </c>
      <c r="AH41">
        <v>49.41</v>
      </c>
      <c r="AI41">
        <v>71.77</v>
      </c>
      <c r="AJ41">
        <v>11.7</v>
      </c>
      <c r="AK41">
        <v>-22.75</v>
      </c>
      <c r="AL41">
        <v>-16.350000000000001</v>
      </c>
      <c r="AM41">
        <v>-1.87</v>
      </c>
      <c r="AN41">
        <v>13.01</v>
      </c>
      <c r="AO41">
        <v>-8.8699999999999992</v>
      </c>
      <c r="AP41">
        <v>-54.7</v>
      </c>
      <c r="AQ41">
        <v>68.209999999999994</v>
      </c>
      <c r="AR41">
        <v>14.42</v>
      </c>
      <c r="AS41">
        <v>40.020000000000003</v>
      </c>
      <c r="AT41">
        <v>102.35</v>
      </c>
      <c r="AU41">
        <v>-6.71</v>
      </c>
      <c r="AV41">
        <v>-27.46</v>
      </c>
      <c r="AW41">
        <v>-4.75</v>
      </c>
      <c r="AX41">
        <v>54.38</v>
      </c>
      <c r="AY41">
        <v>2.15</v>
      </c>
      <c r="AZ41">
        <v>1.51</v>
      </c>
      <c r="BA41">
        <v>52.53</v>
      </c>
      <c r="BB41">
        <v>47.04</v>
      </c>
      <c r="BC41">
        <v>-6.66</v>
      </c>
      <c r="BD41">
        <v>-6.64</v>
      </c>
      <c r="BE41">
        <v>-18.25</v>
      </c>
      <c r="BF41">
        <v>-12.94</v>
      </c>
      <c r="BG41">
        <v>-30.71</v>
      </c>
      <c r="BH41">
        <v>-13.02</v>
      </c>
      <c r="BI41">
        <v>94.49</v>
      </c>
      <c r="BJ41">
        <v>-13.96</v>
      </c>
      <c r="BK41">
        <v>87.01</v>
      </c>
      <c r="BL41">
        <v>-13.81</v>
      </c>
      <c r="BM41">
        <v>27.11</v>
      </c>
      <c r="BN41">
        <v>15.36</v>
      </c>
      <c r="BO41">
        <v>45.02</v>
      </c>
    </row>
    <row r="42" spans="1:67">
      <c r="A42" s="17">
        <v>46031</v>
      </c>
      <c r="B42" s="15">
        <v>36.1</v>
      </c>
      <c r="C42" s="15">
        <v>-56.58</v>
      </c>
      <c r="D42" s="15">
        <v>31.82</v>
      </c>
      <c r="E42" s="15">
        <v>41.22</v>
      </c>
      <c r="F42" s="15">
        <v>16.78</v>
      </c>
      <c r="G42" s="15">
        <v>10.17</v>
      </c>
      <c r="H42" s="15">
        <v>-0.52</v>
      </c>
      <c r="I42" s="15">
        <v>8.6999999999999993</v>
      </c>
      <c r="J42" s="15">
        <v>43.66</v>
      </c>
      <c r="K42" s="15">
        <v>-11.41</v>
      </c>
      <c r="L42" s="15">
        <v>67.89</v>
      </c>
      <c r="M42" s="15">
        <v>-25.75</v>
      </c>
      <c r="N42" s="15">
        <v>67.64</v>
      </c>
      <c r="O42" s="15">
        <v>1.76</v>
      </c>
      <c r="P42" s="15">
        <v>-8.25</v>
      </c>
      <c r="Q42">
        <v>1.48</v>
      </c>
      <c r="R42">
        <v>33.64</v>
      </c>
      <c r="S42">
        <v>52.4</v>
      </c>
      <c r="T42">
        <v>63.3</v>
      </c>
      <c r="U42">
        <v>62.33</v>
      </c>
      <c r="V42">
        <v>-6.27</v>
      </c>
      <c r="W42">
        <v>9.7899999999999991</v>
      </c>
      <c r="X42">
        <v>137.43</v>
      </c>
      <c r="Y42">
        <v>15.43</v>
      </c>
      <c r="Z42">
        <v>5.67</v>
      </c>
      <c r="AA42">
        <v>-4.7300000000000004</v>
      </c>
      <c r="AB42">
        <v>2.14</v>
      </c>
      <c r="AC42">
        <v>-20.11</v>
      </c>
      <c r="AD42">
        <v>-43.14</v>
      </c>
      <c r="AE42">
        <v>-20.38</v>
      </c>
      <c r="AF42">
        <v>-1.5</v>
      </c>
      <c r="AG42">
        <v>-25.25</v>
      </c>
      <c r="AH42">
        <v>50.1</v>
      </c>
      <c r="AI42">
        <v>72.56</v>
      </c>
      <c r="AJ42">
        <v>11.55</v>
      </c>
      <c r="AK42">
        <v>-22.85</v>
      </c>
      <c r="AL42">
        <v>-16.43</v>
      </c>
      <c r="AM42">
        <v>-1.79</v>
      </c>
      <c r="AN42">
        <v>13.21</v>
      </c>
      <c r="AO42">
        <v>-8.85</v>
      </c>
      <c r="AP42">
        <v>-54.77</v>
      </c>
      <c r="AQ42">
        <v>69.040000000000006</v>
      </c>
      <c r="AR42">
        <v>14.43</v>
      </c>
      <c r="AS42">
        <v>40.29</v>
      </c>
      <c r="AT42">
        <v>103.26</v>
      </c>
      <c r="AU42">
        <v>-6.64</v>
      </c>
      <c r="AV42">
        <v>-27.55</v>
      </c>
      <c r="AW42">
        <v>-4.67</v>
      </c>
      <c r="AX42">
        <v>55.52</v>
      </c>
      <c r="AY42">
        <v>2.1800000000000002</v>
      </c>
      <c r="AZ42">
        <v>1.7</v>
      </c>
      <c r="BA42">
        <v>53.44</v>
      </c>
      <c r="BB42">
        <v>47.08</v>
      </c>
      <c r="BC42">
        <v>-6.58</v>
      </c>
      <c r="BD42">
        <v>-6.7</v>
      </c>
      <c r="BE42">
        <v>-18.420000000000002</v>
      </c>
      <c r="BF42">
        <v>-13.09</v>
      </c>
      <c r="BG42">
        <v>-30.86</v>
      </c>
      <c r="BH42">
        <v>-13.12</v>
      </c>
      <c r="BI42">
        <v>94.86</v>
      </c>
      <c r="BJ42">
        <v>-13.8</v>
      </c>
      <c r="BK42">
        <v>86.04</v>
      </c>
      <c r="BL42">
        <v>-13.95</v>
      </c>
      <c r="BM42">
        <v>27.38</v>
      </c>
      <c r="BN42">
        <v>15.23</v>
      </c>
      <c r="BO42">
        <v>45.33</v>
      </c>
    </row>
    <row r="43" spans="1:67">
      <c r="A43" s="18">
        <v>46034</v>
      </c>
      <c r="B43" s="15">
        <v>37</v>
      </c>
      <c r="C43" s="15">
        <v>-55.3</v>
      </c>
      <c r="D43" s="15">
        <v>31.88</v>
      </c>
      <c r="E43" s="15">
        <v>41.9</v>
      </c>
      <c r="F43" s="15">
        <v>16.809999999999999</v>
      </c>
      <c r="G43" s="15">
        <v>9.9700000000000006</v>
      </c>
      <c r="H43" s="15">
        <v>-0.33</v>
      </c>
      <c r="I43" s="15">
        <v>9.18</v>
      </c>
      <c r="J43" s="15">
        <v>46.37</v>
      </c>
      <c r="K43" s="15">
        <v>-11.53</v>
      </c>
      <c r="L43" s="15">
        <v>69</v>
      </c>
      <c r="M43" s="15">
        <v>-26.32</v>
      </c>
      <c r="N43" s="15">
        <v>68.36</v>
      </c>
      <c r="O43" s="15">
        <v>1.75</v>
      </c>
      <c r="P43" s="15">
        <v>-8.3699999999999992</v>
      </c>
      <c r="Q43">
        <v>1.21</v>
      </c>
      <c r="R43">
        <v>33.76</v>
      </c>
      <c r="S43">
        <v>55.27</v>
      </c>
      <c r="T43">
        <v>63.87</v>
      </c>
      <c r="U43">
        <v>62.81</v>
      </c>
      <c r="V43">
        <v>-6.42</v>
      </c>
      <c r="W43">
        <v>10.06</v>
      </c>
      <c r="X43">
        <v>139.47999999999999</v>
      </c>
      <c r="Y43">
        <v>15.3</v>
      </c>
      <c r="Z43">
        <v>5.64</v>
      </c>
      <c r="AA43">
        <v>-4.8899999999999997</v>
      </c>
      <c r="AB43">
        <v>2.2000000000000002</v>
      </c>
      <c r="AC43">
        <v>-20.34</v>
      </c>
      <c r="AD43">
        <v>-43.9</v>
      </c>
      <c r="AE43">
        <v>-20.63</v>
      </c>
      <c r="AF43">
        <v>-1.57</v>
      </c>
      <c r="AG43">
        <v>-25.61</v>
      </c>
      <c r="AH43">
        <v>52.77</v>
      </c>
      <c r="AI43">
        <v>73.709999999999994</v>
      </c>
      <c r="AJ43">
        <v>11.25</v>
      </c>
      <c r="AK43">
        <v>-23.02</v>
      </c>
      <c r="AL43">
        <v>-16.5</v>
      </c>
      <c r="AM43">
        <v>-1.59</v>
      </c>
      <c r="AN43">
        <v>13.23</v>
      </c>
      <c r="AO43">
        <v>-8.89</v>
      </c>
      <c r="AP43">
        <v>-51.24</v>
      </c>
      <c r="AQ43">
        <v>70.95</v>
      </c>
      <c r="AR43">
        <v>14.69</v>
      </c>
      <c r="AS43">
        <v>42.09</v>
      </c>
      <c r="AT43">
        <v>104.71</v>
      </c>
      <c r="AU43">
        <v>-6.6</v>
      </c>
      <c r="AV43">
        <v>-28.09</v>
      </c>
      <c r="AW43">
        <v>-4.67</v>
      </c>
      <c r="AX43">
        <v>58.96</v>
      </c>
      <c r="AY43">
        <v>2.09</v>
      </c>
      <c r="AZ43">
        <v>1.66</v>
      </c>
      <c r="BA43">
        <v>54.71</v>
      </c>
      <c r="BB43">
        <v>48.02</v>
      </c>
      <c r="BC43">
        <v>-6.58</v>
      </c>
      <c r="BD43">
        <v>-6.83</v>
      </c>
      <c r="BE43">
        <v>-18.72</v>
      </c>
      <c r="BF43">
        <v>-13.3</v>
      </c>
      <c r="BG43">
        <v>-31.28</v>
      </c>
      <c r="BH43">
        <v>-13.3</v>
      </c>
      <c r="BI43">
        <v>96.44</v>
      </c>
      <c r="BJ43">
        <v>-14.54</v>
      </c>
      <c r="BK43">
        <v>86.4</v>
      </c>
      <c r="BL43">
        <v>-13.74</v>
      </c>
      <c r="BM43">
        <v>27.82</v>
      </c>
      <c r="BN43">
        <v>15.17</v>
      </c>
      <c r="BO43">
        <v>45.84</v>
      </c>
    </row>
    <row r="44" spans="1:67">
      <c r="A44" s="17">
        <v>46035</v>
      </c>
      <c r="B44" s="15">
        <v>37.46</v>
      </c>
      <c r="C44" s="15">
        <v>-54.12</v>
      </c>
      <c r="D44" s="15">
        <v>31.98</v>
      </c>
      <c r="E44" s="15">
        <v>42.03</v>
      </c>
      <c r="F44" s="15">
        <v>16.88</v>
      </c>
      <c r="G44" s="15">
        <v>9.98</v>
      </c>
      <c r="H44" s="15">
        <v>-0.16</v>
      </c>
      <c r="I44" s="15">
        <v>9.56</v>
      </c>
      <c r="J44" s="15">
        <v>46.69</v>
      </c>
      <c r="K44" s="15">
        <v>-11.52</v>
      </c>
      <c r="L44" s="15">
        <v>69.05</v>
      </c>
      <c r="M44" s="15">
        <v>-26.48</v>
      </c>
      <c r="N44" s="15">
        <v>68.94</v>
      </c>
      <c r="O44" s="15">
        <v>1.72</v>
      </c>
      <c r="P44" s="15">
        <v>-8.41</v>
      </c>
      <c r="Q44">
        <v>1.1100000000000001</v>
      </c>
      <c r="R44">
        <v>33.36</v>
      </c>
      <c r="S44">
        <v>56.44</v>
      </c>
      <c r="T44">
        <v>63.97</v>
      </c>
      <c r="U44">
        <v>62.82</v>
      </c>
      <c r="V44">
        <v>-6.52</v>
      </c>
      <c r="W44">
        <v>9.99</v>
      </c>
      <c r="X44">
        <v>138.44</v>
      </c>
      <c r="Y44">
        <v>15.42</v>
      </c>
      <c r="Z44">
        <v>5.66</v>
      </c>
      <c r="AA44">
        <v>-4.96</v>
      </c>
      <c r="AB44">
        <v>2.38</v>
      </c>
      <c r="AC44">
        <v>-20.34</v>
      </c>
      <c r="AD44">
        <v>-44.12</v>
      </c>
      <c r="AE44">
        <v>-20.92</v>
      </c>
      <c r="AF44">
        <v>-1.72</v>
      </c>
      <c r="AG44">
        <v>-25.97</v>
      </c>
      <c r="AH44">
        <v>53.95</v>
      </c>
      <c r="AI44">
        <v>74.58</v>
      </c>
      <c r="AJ44">
        <v>11.12</v>
      </c>
      <c r="AK44">
        <v>-23.17</v>
      </c>
      <c r="AL44">
        <v>-16.54</v>
      </c>
      <c r="AM44">
        <v>-1.78</v>
      </c>
      <c r="AN44">
        <v>13.28</v>
      </c>
      <c r="AO44">
        <v>-8.93</v>
      </c>
      <c r="AP44">
        <v>-50.82</v>
      </c>
      <c r="AQ44">
        <v>71.97</v>
      </c>
      <c r="AR44">
        <v>14.88</v>
      </c>
      <c r="AS44">
        <v>42.56</v>
      </c>
      <c r="AT44">
        <v>104.6</v>
      </c>
      <c r="AU44">
        <v>-6.75</v>
      </c>
      <c r="AV44">
        <v>-28.16</v>
      </c>
      <c r="AW44">
        <v>-4.7</v>
      </c>
      <c r="AX44">
        <v>60.29</v>
      </c>
      <c r="AY44">
        <v>2.0699999999999998</v>
      </c>
      <c r="AZ44">
        <v>1.56</v>
      </c>
      <c r="BA44">
        <v>55.44</v>
      </c>
      <c r="BB44">
        <v>48.28</v>
      </c>
      <c r="BC44">
        <v>-6.67</v>
      </c>
      <c r="BD44">
        <v>-6.91</v>
      </c>
      <c r="BE44">
        <v>-18.84</v>
      </c>
      <c r="BF44">
        <v>-13.37</v>
      </c>
      <c r="BG44">
        <v>-31.26</v>
      </c>
      <c r="BH44">
        <v>-13.45</v>
      </c>
      <c r="BI44">
        <v>96.22</v>
      </c>
      <c r="BJ44">
        <v>-14.75</v>
      </c>
      <c r="BK44">
        <v>86.36</v>
      </c>
      <c r="BL44">
        <v>-13.7</v>
      </c>
      <c r="BM44">
        <v>28.38</v>
      </c>
      <c r="BN44">
        <v>15.17</v>
      </c>
      <c r="BO44">
        <v>45.4</v>
      </c>
    </row>
    <row r="45" spans="1:67">
      <c r="A45" s="18">
        <v>46036</v>
      </c>
      <c r="B45" s="15">
        <v>37.78</v>
      </c>
      <c r="C45" s="15">
        <v>-54.38</v>
      </c>
      <c r="D45" s="15">
        <v>32.130000000000003</v>
      </c>
      <c r="E45" s="15">
        <v>42.13</v>
      </c>
      <c r="F45" s="15">
        <v>16.46</v>
      </c>
      <c r="G45" s="15">
        <v>9.91</v>
      </c>
      <c r="H45" s="15">
        <v>-0.1</v>
      </c>
      <c r="I45" s="15">
        <v>9.7100000000000009</v>
      </c>
      <c r="J45" s="15">
        <v>47.55</v>
      </c>
      <c r="K45" s="15">
        <v>-11.55</v>
      </c>
      <c r="L45" s="15">
        <v>69.83</v>
      </c>
      <c r="M45" s="15">
        <v>-26.58</v>
      </c>
      <c r="N45" s="15">
        <v>69.06</v>
      </c>
      <c r="O45" s="15">
        <v>1.67</v>
      </c>
      <c r="P45" s="15">
        <v>-8.41</v>
      </c>
      <c r="Q45">
        <v>1.1599999999999999</v>
      </c>
      <c r="R45">
        <v>33.619999999999997</v>
      </c>
      <c r="S45">
        <v>57.28</v>
      </c>
      <c r="T45">
        <v>64.040000000000006</v>
      </c>
      <c r="U45">
        <v>62.9</v>
      </c>
      <c r="V45">
        <v>-6.5</v>
      </c>
      <c r="W45">
        <v>10.119999999999999</v>
      </c>
      <c r="X45">
        <v>138.83000000000001</v>
      </c>
      <c r="Y45">
        <v>15.26</v>
      </c>
      <c r="Z45">
        <v>5.7</v>
      </c>
      <c r="AA45">
        <v>-4.97</v>
      </c>
      <c r="AB45">
        <v>2.39</v>
      </c>
      <c r="AC45">
        <v>-20.43</v>
      </c>
      <c r="AD45">
        <v>-44.33</v>
      </c>
      <c r="AE45">
        <v>-20.94</v>
      </c>
      <c r="AF45">
        <v>-1.82</v>
      </c>
      <c r="AG45">
        <v>-26.03</v>
      </c>
      <c r="AH45">
        <v>55.06</v>
      </c>
      <c r="AI45">
        <v>74.69</v>
      </c>
      <c r="AJ45">
        <v>11.03</v>
      </c>
      <c r="AK45">
        <v>-23.19</v>
      </c>
      <c r="AL45">
        <v>-16.489999999999998</v>
      </c>
      <c r="AM45">
        <v>-1.65</v>
      </c>
      <c r="AN45">
        <v>13.52</v>
      </c>
      <c r="AO45">
        <v>-8.9499999999999993</v>
      </c>
      <c r="AP45">
        <v>-49.64</v>
      </c>
      <c r="AQ45">
        <v>72.03</v>
      </c>
      <c r="AR45">
        <v>14.8</v>
      </c>
      <c r="AS45">
        <v>43.15</v>
      </c>
      <c r="AT45">
        <v>104.88</v>
      </c>
      <c r="AU45">
        <v>-6.65</v>
      </c>
      <c r="AV45">
        <v>-28.35</v>
      </c>
      <c r="AW45">
        <v>-4.5999999999999996</v>
      </c>
      <c r="AX45">
        <v>60.84</v>
      </c>
      <c r="AY45">
        <v>2.0699999999999998</v>
      </c>
      <c r="AZ45">
        <v>1.55</v>
      </c>
      <c r="BA45">
        <v>55.7</v>
      </c>
      <c r="BB45">
        <v>48.7</v>
      </c>
      <c r="BC45">
        <v>-6.61</v>
      </c>
      <c r="BD45">
        <v>-6.92</v>
      </c>
      <c r="BE45">
        <v>-18.850000000000001</v>
      </c>
      <c r="BF45">
        <v>-13.41</v>
      </c>
      <c r="BG45">
        <v>-31.41</v>
      </c>
      <c r="BH45">
        <v>-13.45</v>
      </c>
      <c r="BI45">
        <v>96.74</v>
      </c>
      <c r="BJ45">
        <v>-14.7</v>
      </c>
      <c r="BK45">
        <v>86.23</v>
      </c>
      <c r="BL45">
        <v>-13.88</v>
      </c>
      <c r="BM45">
        <v>28.65</v>
      </c>
      <c r="BN45">
        <v>15.14</v>
      </c>
      <c r="BO45">
        <v>45.41</v>
      </c>
    </row>
    <row r="46" spans="1:67">
      <c r="A46" s="17">
        <v>46037</v>
      </c>
      <c r="B46" s="15">
        <v>37.909999999999997</v>
      </c>
      <c r="C46" s="15">
        <v>-55.32</v>
      </c>
      <c r="D46" s="15">
        <v>32.24</v>
      </c>
      <c r="E46" s="15">
        <v>42.26</v>
      </c>
      <c r="F46" s="15">
        <v>16.11</v>
      </c>
      <c r="G46" s="15">
        <v>9.9600000000000009</v>
      </c>
      <c r="H46" s="15">
        <v>-0.15</v>
      </c>
      <c r="I46" s="15">
        <v>9.06</v>
      </c>
      <c r="J46" s="15">
        <v>47.93</v>
      </c>
      <c r="K46" s="15">
        <v>-11.53</v>
      </c>
      <c r="L46" s="15">
        <v>69.819999999999993</v>
      </c>
      <c r="M46" s="15">
        <v>-26.38</v>
      </c>
      <c r="N46" s="15">
        <v>68.84</v>
      </c>
      <c r="O46" s="15">
        <v>1.81</v>
      </c>
      <c r="P46" s="15">
        <v>-8.43</v>
      </c>
      <c r="Q46">
        <v>1.04</v>
      </c>
      <c r="R46">
        <v>33.75</v>
      </c>
      <c r="S46">
        <v>58</v>
      </c>
      <c r="T46">
        <v>63.46</v>
      </c>
      <c r="U46">
        <v>63.07</v>
      </c>
      <c r="V46">
        <v>-6.51</v>
      </c>
      <c r="W46">
        <v>10.01</v>
      </c>
      <c r="X46">
        <v>139.11000000000001</v>
      </c>
      <c r="Y46">
        <v>15.33</v>
      </c>
      <c r="Z46">
        <v>5.73</v>
      </c>
      <c r="AA46">
        <v>-5.01</v>
      </c>
      <c r="AB46">
        <v>2.61</v>
      </c>
      <c r="AC46">
        <v>-20.58</v>
      </c>
      <c r="AD46">
        <v>-44.15</v>
      </c>
      <c r="AE46">
        <v>-20.87</v>
      </c>
      <c r="AF46">
        <v>-1.58</v>
      </c>
      <c r="AG46">
        <v>-25.92</v>
      </c>
      <c r="AH46">
        <v>54.91</v>
      </c>
      <c r="AI46">
        <v>73.739999999999995</v>
      </c>
      <c r="AJ46">
        <v>11.18</v>
      </c>
      <c r="AK46">
        <v>-23</v>
      </c>
      <c r="AL46">
        <v>-16.559999999999999</v>
      </c>
      <c r="AM46">
        <v>-0.95</v>
      </c>
      <c r="AN46">
        <v>13.46</v>
      </c>
      <c r="AO46">
        <v>-8.8699999999999992</v>
      </c>
      <c r="AP46">
        <v>-48.17</v>
      </c>
      <c r="AQ46">
        <v>72.63</v>
      </c>
      <c r="AR46">
        <v>14.77</v>
      </c>
      <c r="AS46">
        <v>43.87</v>
      </c>
      <c r="AT46">
        <v>104.82</v>
      </c>
      <c r="AU46">
        <v>-6.58</v>
      </c>
      <c r="AV46">
        <v>-28.36</v>
      </c>
      <c r="AW46">
        <v>-4.54</v>
      </c>
      <c r="AX46">
        <v>62.96</v>
      </c>
      <c r="AY46">
        <v>2.08</v>
      </c>
      <c r="AZ46">
        <v>1.55</v>
      </c>
      <c r="BA46">
        <v>55.03</v>
      </c>
      <c r="BB46">
        <v>48.95</v>
      </c>
      <c r="BC46">
        <v>-6.54</v>
      </c>
      <c r="BD46">
        <v>-6.85</v>
      </c>
      <c r="BE46">
        <v>-18.760000000000002</v>
      </c>
      <c r="BF46">
        <v>-13.52</v>
      </c>
      <c r="BG46">
        <v>-31.4</v>
      </c>
      <c r="BH46">
        <v>-13.38</v>
      </c>
      <c r="BI46">
        <v>96.74</v>
      </c>
      <c r="BJ46">
        <v>-14.76</v>
      </c>
      <c r="BK46">
        <v>86.39</v>
      </c>
      <c r="BL46">
        <v>-13.95</v>
      </c>
      <c r="BM46">
        <v>29.08</v>
      </c>
      <c r="BN46">
        <v>15.2</v>
      </c>
      <c r="BO46">
        <v>45.58</v>
      </c>
    </row>
    <row r="47" spans="1:67">
      <c r="A47" s="18">
        <v>46038</v>
      </c>
      <c r="B47" s="15">
        <v>38.22</v>
      </c>
      <c r="C47" s="15">
        <v>-54.52</v>
      </c>
      <c r="D47" s="15">
        <v>32.17</v>
      </c>
      <c r="E47" s="15">
        <v>42.72</v>
      </c>
      <c r="F47" s="15">
        <v>15.8</v>
      </c>
      <c r="G47" s="15">
        <v>9.9600000000000009</v>
      </c>
      <c r="H47" s="15">
        <v>-0.25</v>
      </c>
      <c r="I47" s="15">
        <v>9.09</v>
      </c>
      <c r="J47" s="15">
        <v>46.54</v>
      </c>
      <c r="K47" s="15">
        <v>-11.54</v>
      </c>
      <c r="L47" s="15">
        <v>68.489999999999995</v>
      </c>
      <c r="M47" s="15">
        <v>-26.3</v>
      </c>
      <c r="N47" s="15">
        <v>68.73</v>
      </c>
      <c r="O47" s="15">
        <v>1.73</v>
      </c>
      <c r="P47" s="15">
        <v>-8.51</v>
      </c>
      <c r="Q47">
        <v>0.59</v>
      </c>
      <c r="R47">
        <v>33.67</v>
      </c>
      <c r="S47">
        <v>59.93</v>
      </c>
      <c r="T47">
        <v>63.42</v>
      </c>
      <c r="U47">
        <v>63.2</v>
      </c>
      <c r="V47">
        <v>-6.72</v>
      </c>
      <c r="W47">
        <v>9.74</v>
      </c>
      <c r="X47">
        <v>138.68</v>
      </c>
      <c r="Y47">
        <v>15.25</v>
      </c>
      <c r="Z47">
        <v>5.67</v>
      </c>
      <c r="AA47">
        <v>-5.16</v>
      </c>
      <c r="AB47">
        <v>2.6</v>
      </c>
      <c r="AC47">
        <v>-20.440000000000001</v>
      </c>
      <c r="AD47">
        <v>-44.24</v>
      </c>
      <c r="AE47">
        <v>-21.29</v>
      </c>
      <c r="AF47">
        <v>-1.82</v>
      </c>
      <c r="AG47">
        <v>-26.31</v>
      </c>
      <c r="AH47">
        <v>54.88</v>
      </c>
      <c r="AI47">
        <v>73.58</v>
      </c>
      <c r="AJ47">
        <v>11.19</v>
      </c>
      <c r="AK47">
        <v>-23.17</v>
      </c>
      <c r="AL47">
        <v>-16.829999999999998</v>
      </c>
      <c r="AM47">
        <v>0.36</v>
      </c>
      <c r="AN47">
        <v>13.39</v>
      </c>
      <c r="AO47">
        <v>-8.65</v>
      </c>
      <c r="AP47">
        <v>-47.97</v>
      </c>
      <c r="AQ47">
        <v>75.36</v>
      </c>
      <c r="AR47">
        <v>14.53</v>
      </c>
      <c r="AS47">
        <v>44.54</v>
      </c>
      <c r="AT47">
        <v>103.63</v>
      </c>
      <c r="AU47">
        <v>-6.8</v>
      </c>
      <c r="AV47">
        <v>-28.92</v>
      </c>
      <c r="AW47">
        <v>-4.63</v>
      </c>
      <c r="AX47">
        <v>68.02</v>
      </c>
      <c r="AY47">
        <v>2.13</v>
      </c>
      <c r="AZ47">
        <v>1.17</v>
      </c>
      <c r="BA47">
        <v>55.28</v>
      </c>
      <c r="BB47">
        <v>48.8</v>
      </c>
      <c r="BC47">
        <v>-6.61</v>
      </c>
      <c r="BD47">
        <v>-6.92</v>
      </c>
      <c r="BE47">
        <v>-18.93</v>
      </c>
      <c r="BF47">
        <v>-13.93</v>
      </c>
      <c r="BG47">
        <v>-31.3</v>
      </c>
      <c r="BH47">
        <v>-13.56</v>
      </c>
      <c r="BI47">
        <v>96.17</v>
      </c>
      <c r="BJ47">
        <v>-14.78</v>
      </c>
      <c r="BK47">
        <v>86.14</v>
      </c>
      <c r="BL47">
        <v>-13.92</v>
      </c>
      <c r="BM47">
        <v>28.38</v>
      </c>
      <c r="BN47">
        <v>15.19</v>
      </c>
      <c r="BO47">
        <v>44.98</v>
      </c>
    </row>
    <row r="48" spans="1:67">
      <c r="A48" s="17">
        <v>46041</v>
      </c>
      <c r="B48" s="15">
        <v>38.14</v>
      </c>
      <c r="C48" s="15">
        <v>-54.74</v>
      </c>
      <c r="D48" s="15">
        <v>32.130000000000003</v>
      </c>
      <c r="E48" s="15">
        <v>42.71</v>
      </c>
      <c r="F48" s="15">
        <v>15.75</v>
      </c>
      <c r="G48" s="15">
        <v>9.91</v>
      </c>
      <c r="H48" s="15">
        <v>-0.27</v>
      </c>
      <c r="I48" s="15">
        <v>9.09</v>
      </c>
      <c r="J48" s="15">
        <v>46.5</v>
      </c>
      <c r="K48" s="15">
        <v>-11.53</v>
      </c>
      <c r="L48" s="15">
        <v>68.260000000000005</v>
      </c>
      <c r="M48" s="15">
        <v>-26.28</v>
      </c>
      <c r="N48" s="15">
        <v>68.72</v>
      </c>
      <c r="O48" s="15">
        <v>1.75</v>
      </c>
      <c r="P48" s="15">
        <v>-8.4700000000000006</v>
      </c>
      <c r="Q48">
        <v>0.75</v>
      </c>
      <c r="R48">
        <v>33.67</v>
      </c>
      <c r="S48">
        <v>59.28</v>
      </c>
      <c r="T48">
        <v>63.45</v>
      </c>
      <c r="U48">
        <v>63.15</v>
      </c>
      <c r="V48">
        <v>-6.64</v>
      </c>
      <c r="W48">
        <v>9.8000000000000007</v>
      </c>
      <c r="X48">
        <v>138.75</v>
      </c>
      <c r="Y48">
        <v>15.29</v>
      </c>
      <c r="Z48">
        <v>5.67</v>
      </c>
      <c r="AA48">
        <v>-5.09</v>
      </c>
      <c r="AB48">
        <v>2.48</v>
      </c>
      <c r="AC48">
        <v>-20.45</v>
      </c>
      <c r="AD48">
        <v>-44.23</v>
      </c>
      <c r="AE48">
        <v>-21.28</v>
      </c>
      <c r="AF48">
        <v>-1.79</v>
      </c>
      <c r="AG48">
        <v>-26.24</v>
      </c>
      <c r="AH48">
        <v>54.93</v>
      </c>
      <c r="AI48">
        <v>73.56</v>
      </c>
      <c r="AJ48">
        <v>11.19</v>
      </c>
      <c r="AK48">
        <v>-23.14</v>
      </c>
      <c r="AL48">
        <v>-16.73</v>
      </c>
      <c r="AM48">
        <v>0.35</v>
      </c>
      <c r="AN48">
        <v>13.41</v>
      </c>
      <c r="AO48">
        <v>-8.61</v>
      </c>
      <c r="AP48">
        <v>-48.11</v>
      </c>
      <c r="AQ48">
        <v>74.44</v>
      </c>
      <c r="AR48">
        <v>14.71</v>
      </c>
      <c r="AS48">
        <v>44.33</v>
      </c>
      <c r="AT48">
        <v>103.52</v>
      </c>
      <c r="AU48">
        <v>-6.78</v>
      </c>
      <c r="AV48">
        <v>-28.94</v>
      </c>
      <c r="AW48">
        <v>-4.62</v>
      </c>
      <c r="AX48">
        <v>66.36</v>
      </c>
      <c r="AY48">
        <v>2.15</v>
      </c>
      <c r="AZ48">
        <v>1.18</v>
      </c>
      <c r="BA48">
        <v>55.07</v>
      </c>
      <c r="BB48">
        <v>48.89</v>
      </c>
      <c r="BC48">
        <v>-6.6</v>
      </c>
      <c r="BD48">
        <v>-6.91</v>
      </c>
      <c r="BE48">
        <v>-18.899999999999999</v>
      </c>
      <c r="BF48">
        <v>-13.81</v>
      </c>
      <c r="BG48">
        <v>-31.27</v>
      </c>
      <c r="BH48">
        <v>-13.54</v>
      </c>
      <c r="BI48">
        <v>96.19</v>
      </c>
      <c r="BJ48">
        <v>-14.71</v>
      </c>
      <c r="BK48">
        <v>86.15</v>
      </c>
      <c r="BL48">
        <v>-13.92</v>
      </c>
      <c r="BM48">
        <v>28.4</v>
      </c>
      <c r="BN48">
        <v>15.21</v>
      </c>
      <c r="BO48">
        <v>44.94</v>
      </c>
    </row>
    <row r="49" spans="1:67">
      <c r="A49" s="18">
        <v>46042</v>
      </c>
      <c r="B49" s="15">
        <v>37.909999999999997</v>
      </c>
      <c r="C49" s="15">
        <v>-54.88</v>
      </c>
      <c r="D49" s="15">
        <v>32.11</v>
      </c>
      <c r="E49" s="15">
        <v>42.41</v>
      </c>
      <c r="F49" s="15">
        <v>15.11</v>
      </c>
      <c r="G49" s="15">
        <v>9.3800000000000008</v>
      </c>
      <c r="H49" s="15">
        <v>0</v>
      </c>
      <c r="I49" s="15">
        <v>9.64</v>
      </c>
      <c r="J49" s="15">
        <v>45.97</v>
      </c>
      <c r="K49" s="15">
        <v>-11.68</v>
      </c>
      <c r="L49" s="15">
        <v>67.25</v>
      </c>
      <c r="M49" s="15">
        <v>-26.49</v>
      </c>
      <c r="N49" s="15">
        <v>68.790000000000006</v>
      </c>
      <c r="O49" s="15">
        <v>1.57</v>
      </c>
      <c r="P49" s="15">
        <v>-8.48</v>
      </c>
      <c r="Q49">
        <v>0.65</v>
      </c>
      <c r="R49">
        <v>33.119999999999997</v>
      </c>
      <c r="S49">
        <v>60.16</v>
      </c>
      <c r="T49">
        <v>62.89</v>
      </c>
      <c r="U49">
        <v>63.49</v>
      </c>
      <c r="V49">
        <v>-6.65</v>
      </c>
      <c r="W49">
        <v>10.27</v>
      </c>
      <c r="X49">
        <v>139.72999999999999</v>
      </c>
      <c r="Y49">
        <v>14.7</v>
      </c>
      <c r="Z49">
        <v>5.62</v>
      </c>
      <c r="AA49">
        <v>-5.12</v>
      </c>
      <c r="AB49">
        <v>2.37</v>
      </c>
      <c r="AC49">
        <v>-20.34</v>
      </c>
      <c r="AD49">
        <v>-44.79</v>
      </c>
      <c r="AE49">
        <v>-21.08</v>
      </c>
      <c r="AF49">
        <v>-2.06</v>
      </c>
      <c r="AG49">
        <v>-26.06</v>
      </c>
      <c r="AH49">
        <v>55.14</v>
      </c>
      <c r="AI49">
        <v>73.819999999999993</v>
      </c>
      <c r="AJ49">
        <v>10.72</v>
      </c>
      <c r="AK49">
        <v>-23.19</v>
      </c>
      <c r="AL49">
        <v>-16.68</v>
      </c>
      <c r="AM49">
        <v>-0.06</v>
      </c>
      <c r="AN49">
        <v>13.23</v>
      </c>
      <c r="AO49">
        <v>-8.68</v>
      </c>
      <c r="AP49">
        <v>-48.79</v>
      </c>
      <c r="AQ49">
        <v>75.099999999999994</v>
      </c>
      <c r="AR49">
        <v>15.12</v>
      </c>
      <c r="AS49">
        <v>44.18</v>
      </c>
      <c r="AT49">
        <v>104.25</v>
      </c>
      <c r="AU49">
        <v>-6.68</v>
      </c>
      <c r="AV49">
        <v>-28.86</v>
      </c>
      <c r="AW49">
        <v>-4.58</v>
      </c>
      <c r="AX49">
        <v>67.459999999999994</v>
      </c>
      <c r="AY49">
        <v>2.2000000000000002</v>
      </c>
      <c r="AZ49">
        <v>1.24</v>
      </c>
      <c r="BA49">
        <v>56.09</v>
      </c>
      <c r="BB49">
        <v>48.52</v>
      </c>
      <c r="BC49">
        <v>-6.55</v>
      </c>
      <c r="BD49">
        <v>-6.93</v>
      </c>
      <c r="BE49">
        <v>-18.96</v>
      </c>
      <c r="BF49">
        <v>-13.88</v>
      </c>
      <c r="BG49">
        <v>-31.76</v>
      </c>
      <c r="BH49">
        <v>-13.5</v>
      </c>
      <c r="BI49">
        <v>98.25</v>
      </c>
      <c r="BJ49">
        <v>-14.86</v>
      </c>
      <c r="BK49">
        <v>86.12</v>
      </c>
      <c r="BL49">
        <v>-13.24</v>
      </c>
      <c r="BM49">
        <v>28.71</v>
      </c>
      <c r="BN49">
        <v>15.19</v>
      </c>
      <c r="BO49">
        <v>45.71</v>
      </c>
    </row>
    <row r="50" spans="1:67">
      <c r="A50" s="17">
        <v>46043</v>
      </c>
      <c r="B50" s="15">
        <v>38.24</v>
      </c>
      <c r="C50" s="15">
        <v>-53.3</v>
      </c>
      <c r="D50" s="15">
        <v>32.06</v>
      </c>
      <c r="E50" s="15">
        <v>42.97</v>
      </c>
      <c r="F50" s="15">
        <v>15.04</v>
      </c>
      <c r="G50" s="15">
        <v>9.5</v>
      </c>
      <c r="H50" s="15">
        <v>0.18</v>
      </c>
      <c r="I50" s="15">
        <v>10.039999999999999</v>
      </c>
      <c r="J50" s="15">
        <v>46.26</v>
      </c>
      <c r="K50" s="15">
        <v>-11.75</v>
      </c>
      <c r="L50" s="15">
        <v>66.930000000000007</v>
      </c>
      <c r="M50" s="15">
        <v>-26.93</v>
      </c>
      <c r="N50" s="15">
        <v>69.28</v>
      </c>
      <c r="O50" s="15">
        <v>1.48</v>
      </c>
      <c r="P50" s="15">
        <v>-8.61</v>
      </c>
      <c r="Q50">
        <v>0.34</v>
      </c>
      <c r="R50">
        <v>32.58</v>
      </c>
      <c r="S50">
        <v>62.1</v>
      </c>
      <c r="T50">
        <v>62.85</v>
      </c>
      <c r="U50">
        <v>63.73</v>
      </c>
      <c r="V50">
        <v>-6.86</v>
      </c>
      <c r="W50">
        <v>10.32</v>
      </c>
      <c r="X50">
        <v>139.91</v>
      </c>
      <c r="Y50">
        <v>14.57</v>
      </c>
      <c r="Z50">
        <v>5.52</v>
      </c>
      <c r="AA50">
        <v>-5.3</v>
      </c>
      <c r="AB50">
        <v>2.4700000000000002</v>
      </c>
      <c r="AC50">
        <v>-20.27</v>
      </c>
      <c r="AD50">
        <v>-45.4</v>
      </c>
      <c r="AE50">
        <v>-21.51</v>
      </c>
      <c r="AF50">
        <v>-2.23</v>
      </c>
      <c r="AG50">
        <v>-26.61</v>
      </c>
      <c r="AH50">
        <v>55.84</v>
      </c>
      <c r="AI50">
        <v>74.69</v>
      </c>
      <c r="AJ50">
        <v>10.48</v>
      </c>
      <c r="AK50">
        <v>-23.46</v>
      </c>
      <c r="AL50">
        <v>-16.93</v>
      </c>
      <c r="AM50">
        <v>0.64</v>
      </c>
      <c r="AN50">
        <v>12.93</v>
      </c>
      <c r="AO50">
        <v>-8.6</v>
      </c>
      <c r="AP50">
        <v>-48.26</v>
      </c>
      <c r="AQ50">
        <v>77</v>
      </c>
      <c r="AR50">
        <v>15.46</v>
      </c>
      <c r="AS50">
        <v>44.84</v>
      </c>
      <c r="AT50">
        <v>104.74</v>
      </c>
      <c r="AU50">
        <v>-6.74</v>
      </c>
      <c r="AV50">
        <v>-29.28</v>
      </c>
      <c r="AW50">
        <v>-4.62</v>
      </c>
      <c r="AX50">
        <v>71.36</v>
      </c>
      <c r="AY50">
        <v>2.16</v>
      </c>
      <c r="AZ50">
        <v>1.05</v>
      </c>
      <c r="BA50">
        <v>57.26</v>
      </c>
      <c r="BB50">
        <v>48.46</v>
      </c>
      <c r="BC50">
        <v>-6.65</v>
      </c>
      <c r="BD50">
        <v>-7.08</v>
      </c>
      <c r="BE50">
        <v>-19.23</v>
      </c>
      <c r="BF50">
        <v>-14.27</v>
      </c>
      <c r="BG50">
        <v>-31.99</v>
      </c>
      <c r="BH50">
        <v>-13.76</v>
      </c>
      <c r="BI50">
        <v>99.06</v>
      </c>
      <c r="BJ50">
        <v>-15.06</v>
      </c>
      <c r="BK50">
        <v>86.29</v>
      </c>
      <c r="BL50">
        <v>-12.73</v>
      </c>
      <c r="BM50">
        <v>28.58</v>
      </c>
      <c r="BN50">
        <v>15.12</v>
      </c>
      <c r="BO50">
        <v>45.8</v>
      </c>
    </row>
    <row r="51" spans="1:67">
      <c r="A51" s="18">
        <v>46044</v>
      </c>
      <c r="B51" s="15">
        <v>37.869999999999997</v>
      </c>
      <c r="C51" s="15">
        <v>-54.2</v>
      </c>
      <c r="D51" s="15">
        <v>32.29</v>
      </c>
      <c r="E51" s="15">
        <v>43.13</v>
      </c>
      <c r="F51" s="15">
        <v>15.16</v>
      </c>
      <c r="G51" s="15">
        <v>9.6</v>
      </c>
      <c r="H51" s="15">
        <v>0.05</v>
      </c>
      <c r="I51" s="15">
        <v>9.7899999999999991</v>
      </c>
      <c r="J51" s="15">
        <v>46.21</v>
      </c>
      <c r="K51" s="15">
        <v>-11.8</v>
      </c>
      <c r="L51" s="15">
        <v>67.010000000000005</v>
      </c>
      <c r="M51" s="15">
        <v>-26.94</v>
      </c>
      <c r="N51" s="15">
        <v>69.349999999999994</v>
      </c>
      <c r="O51" s="15">
        <v>1.61</v>
      </c>
      <c r="P51" s="15">
        <v>-8.57</v>
      </c>
      <c r="Q51">
        <v>0.49</v>
      </c>
      <c r="R51">
        <v>32.92</v>
      </c>
      <c r="S51">
        <v>61.08</v>
      </c>
      <c r="T51">
        <v>62.65</v>
      </c>
      <c r="U51">
        <v>63.94</v>
      </c>
      <c r="V51">
        <v>-6.77</v>
      </c>
      <c r="W51">
        <v>10.57</v>
      </c>
      <c r="X51">
        <v>141.56</v>
      </c>
      <c r="Y51">
        <v>14.74</v>
      </c>
      <c r="Z51">
        <v>5.52</v>
      </c>
      <c r="AA51">
        <v>-5.23</v>
      </c>
      <c r="AB51">
        <v>2.62</v>
      </c>
      <c r="AC51">
        <v>-20.39</v>
      </c>
      <c r="AD51">
        <v>-45.54</v>
      </c>
      <c r="AE51">
        <v>-21.28</v>
      </c>
      <c r="AF51">
        <v>-2.17</v>
      </c>
      <c r="AG51">
        <v>-26.43</v>
      </c>
      <c r="AH51">
        <v>55.23</v>
      </c>
      <c r="AI51">
        <v>74.19</v>
      </c>
      <c r="AJ51">
        <v>10.46</v>
      </c>
      <c r="AK51">
        <v>-23.41</v>
      </c>
      <c r="AL51">
        <v>-16.809999999999999</v>
      </c>
      <c r="AM51">
        <v>0.56999999999999995</v>
      </c>
      <c r="AN51">
        <v>12.94</v>
      </c>
      <c r="AO51">
        <v>-8.59</v>
      </c>
      <c r="AP51">
        <v>-47.89</v>
      </c>
      <c r="AQ51">
        <v>75.98</v>
      </c>
      <c r="AR51">
        <v>15.59</v>
      </c>
      <c r="AS51">
        <v>44.69</v>
      </c>
      <c r="AT51">
        <v>105.12</v>
      </c>
      <c r="AU51">
        <v>-6.66</v>
      </c>
      <c r="AV51">
        <v>-29.27</v>
      </c>
      <c r="AW51">
        <v>-4.55</v>
      </c>
      <c r="AX51">
        <v>69.97</v>
      </c>
      <c r="AY51">
        <v>2.1800000000000002</v>
      </c>
      <c r="AZ51">
        <v>1.06</v>
      </c>
      <c r="BA51">
        <v>56.84</v>
      </c>
      <c r="BB51">
        <v>48.41</v>
      </c>
      <c r="BC51">
        <v>-6.6</v>
      </c>
      <c r="BD51">
        <v>-7.03</v>
      </c>
      <c r="BE51">
        <v>-19.14</v>
      </c>
      <c r="BF51">
        <v>-14.17</v>
      </c>
      <c r="BG51">
        <v>-32.21</v>
      </c>
      <c r="BH51">
        <v>-13.66</v>
      </c>
      <c r="BI51">
        <v>100.1</v>
      </c>
      <c r="BJ51">
        <v>-14.78</v>
      </c>
      <c r="BK51">
        <v>86.69</v>
      </c>
      <c r="BL51">
        <v>-12.67</v>
      </c>
      <c r="BM51">
        <v>28.67</v>
      </c>
      <c r="BN51">
        <v>15.1</v>
      </c>
      <c r="BO51">
        <v>46.73</v>
      </c>
    </row>
    <row r="52" spans="1:67">
      <c r="A52" s="17">
        <v>46045</v>
      </c>
      <c r="B52" s="15">
        <v>38.159999999999997</v>
      </c>
      <c r="C52" s="15">
        <v>-52.34</v>
      </c>
      <c r="D52" s="15">
        <v>32.799999999999997</v>
      </c>
      <c r="E52" s="15">
        <v>43.42</v>
      </c>
      <c r="F52" s="15">
        <v>15.57</v>
      </c>
      <c r="G52" s="15">
        <v>9.93</v>
      </c>
      <c r="H52" s="15">
        <v>0.24</v>
      </c>
      <c r="I52" s="15">
        <v>10.31</v>
      </c>
      <c r="J52" s="15">
        <v>47.54</v>
      </c>
      <c r="K52" s="15">
        <v>-11.88</v>
      </c>
      <c r="L52" s="15">
        <v>68.66</v>
      </c>
      <c r="M52" s="15">
        <v>-27.6</v>
      </c>
      <c r="N52" s="15">
        <v>69.83</v>
      </c>
      <c r="O52" s="15">
        <v>1.57</v>
      </c>
      <c r="P52" s="15">
        <v>-8.7100000000000009</v>
      </c>
      <c r="Q52">
        <v>0.22</v>
      </c>
      <c r="R52">
        <v>32.729999999999997</v>
      </c>
      <c r="S52">
        <v>62.24</v>
      </c>
      <c r="T52">
        <v>62.96</v>
      </c>
      <c r="U52">
        <v>63.96</v>
      </c>
      <c r="V52">
        <v>-6.96</v>
      </c>
      <c r="W52">
        <v>10.72</v>
      </c>
      <c r="X52">
        <v>141.6</v>
      </c>
      <c r="Y52">
        <v>14.7</v>
      </c>
      <c r="Z52">
        <v>5.55</v>
      </c>
      <c r="AA52">
        <v>-5.38</v>
      </c>
      <c r="AB52">
        <v>2.48</v>
      </c>
      <c r="AC52">
        <v>-20.39</v>
      </c>
      <c r="AD52">
        <v>-46.16</v>
      </c>
      <c r="AE52">
        <v>-21.57</v>
      </c>
      <c r="AF52">
        <v>-2.31</v>
      </c>
      <c r="AG52">
        <v>-26.81</v>
      </c>
      <c r="AH52">
        <v>55.96</v>
      </c>
      <c r="AI52">
        <v>75.94</v>
      </c>
      <c r="AJ52">
        <v>10.19</v>
      </c>
      <c r="AK52">
        <v>-23.68</v>
      </c>
      <c r="AL52">
        <v>-17.010000000000002</v>
      </c>
      <c r="AM52">
        <v>0.47</v>
      </c>
      <c r="AN52">
        <v>13.01</v>
      </c>
      <c r="AO52">
        <v>-8.7100000000000009</v>
      </c>
      <c r="AP52">
        <v>-47.57</v>
      </c>
      <c r="AQ52">
        <v>77.989999999999995</v>
      </c>
      <c r="AR52">
        <v>15.76</v>
      </c>
      <c r="AS52">
        <v>45.14</v>
      </c>
      <c r="AT52">
        <v>106.41</v>
      </c>
      <c r="AU52">
        <v>-6.68</v>
      </c>
      <c r="AV52">
        <v>-29.36</v>
      </c>
      <c r="AW52">
        <v>-4.57</v>
      </c>
      <c r="AX52">
        <v>72.400000000000006</v>
      </c>
      <c r="AY52">
        <v>2.1800000000000002</v>
      </c>
      <c r="AZ52">
        <v>1.21</v>
      </c>
      <c r="BA52">
        <v>58.39</v>
      </c>
      <c r="BB52">
        <v>48.34</v>
      </c>
      <c r="BC52">
        <v>-6.69</v>
      </c>
      <c r="BD52">
        <v>-7.18</v>
      </c>
      <c r="BE52">
        <v>-19.489999999999998</v>
      </c>
      <c r="BF52">
        <v>-14.63</v>
      </c>
      <c r="BG52">
        <v>-32.44</v>
      </c>
      <c r="BH52">
        <v>-13.86</v>
      </c>
      <c r="BI52">
        <v>100.82</v>
      </c>
      <c r="BJ52">
        <v>-14.43</v>
      </c>
      <c r="BK52">
        <v>86.93</v>
      </c>
      <c r="BL52">
        <v>-12.55</v>
      </c>
      <c r="BM52">
        <v>29.08</v>
      </c>
      <c r="BN52">
        <v>15</v>
      </c>
      <c r="BO52">
        <v>47.66</v>
      </c>
    </row>
    <row r="53" spans="1:67">
      <c r="A53" s="18">
        <v>46048</v>
      </c>
      <c r="B53" s="15">
        <v>37.619999999999997</v>
      </c>
      <c r="C53" s="15">
        <v>-52.84</v>
      </c>
      <c r="D53" s="15">
        <v>32.75</v>
      </c>
      <c r="E53" s="15">
        <v>43.12</v>
      </c>
      <c r="F53" s="15">
        <v>15.66</v>
      </c>
      <c r="G53" s="15">
        <v>9.75</v>
      </c>
      <c r="H53" s="15">
        <v>0.35</v>
      </c>
      <c r="I53" s="15">
        <v>10.44</v>
      </c>
      <c r="J53" s="15">
        <v>47.72</v>
      </c>
      <c r="K53" s="15">
        <v>-11.95</v>
      </c>
      <c r="L53" s="15">
        <v>69.010000000000005</v>
      </c>
      <c r="M53" s="15">
        <v>-27.78</v>
      </c>
      <c r="N53" s="15">
        <v>70.040000000000006</v>
      </c>
      <c r="O53" s="15">
        <v>1.68</v>
      </c>
      <c r="P53" s="15">
        <v>-8.77</v>
      </c>
      <c r="Q53">
        <v>0.28000000000000003</v>
      </c>
      <c r="R53">
        <v>32.61</v>
      </c>
      <c r="S53">
        <v>61.32</v>
      </c>
      <c r="T53">
        <v>62.96</v>
      </c>
      <c r="U53">
        <v>64.239999999999995</v>
      </c>
      <c r="V53">
        <v>-6.91</v>
      </c>
      <c r="W53">
        <v>11.1</v>
      </c>
      <c r="X53">
        <v>143.66</v>
      </c>
      <c r="Y53">
        <v>14.9</v>
      </c>
      <c r="Z53">
        <v>5.67</v>
      </c>
      <c r="AA53">
        <v>-5.41</v>
      </c>
      <c r="AB53">
        <v>2.67</v>
      </c>
      <c r="AC53">
        <v>-20.47</v>
      </c>
      <c r="AD53">
        <v>-46.55</v>
      </c>
      <c r="AE53">
        <v>-21.34</v>
      </c>
      <c r="AF53">
        <v>-2.13</v>
      </c>
      <c r="AG53">
        <v>-26.6</v>
      </c>
      <c r="AH53">
        <v>55</v>
      </c>
      <c r="AI53">
        <v>76.16</v>
      </c>
      <c r="AJ53">
        <v>10.08</v>
      </c>
      <c r="AK53">
        <v>-23.61</v>
      </c>
      <c r="AL53">
        <v>-16.73</v>
      </c>
      <c r="AM53">
        <v>0.47</v>
      </c>
      <c r="AN53">
        <v>13.03</v>
      </c>
      <c r="AO53">
        <v>-8.7200000000000006</v>
      </c>
      <c r="AP53">
        <v>-47.69</v>
      </c>
      <c r="AQ53">
        <v>77.319999999999993</v>
      </c>
      <c r="AR53">
        <v>16.29</v>
      </c>
      <c r="AS53">
        <v>44.7</v>
      </c>
      <c r="AT53">
        <v>107.75</v>
      </c>
      <c r="AU53">
        <v>-6.58</v>
      </c>
      <c r="AV53">
        <v>-28.99</v>
      </c>
      <c r="AW53">
        <v>-4.53</v>
      </c>
      <c r="AX53">
        <v>71.23</v>
      </c>
      <c r="AY53">
        <v>2.1</v>
      </c>
      <c r="AZ53">
        <v>1.28</v>
      </c>
      <c r="BA53">
        <v>58.66</v>
      </c>
      <c r="BB53">
        <v>47.98</v>
      </c>
      <c r="BC53">
        <v>-6.54</v>
      </c>
      <c r="BD53">
        <v>-7.19</v>
      </c>
      <c r="BE53">
        <v>-19.510000000000002</v>
      </c>
      <c r="BF53">
        <v>-14.57</v>
      </c>
      <c r="BG53">
        <v>-32.770000000000003</v>
      </c>
      <c r="BH53">
        <v>-13.75</v>
      </c>
      <c r="BI53">
        <v>102.32</v>
      </c>
      <c r="BJ53">
        <v>-14.3</v>
      </c>
      <c r="BK53">
        <v>87.73</v>
      </c>
      <c r="BL53">
        <v>-12.16</v>
      </c>
      <c r="BM53">
        <v>29.92</v>
      </c>
      <c r="BN53">
        <v>15.06</v>
      </c>
      <c r="BO53">
        <v>49.05</v>
      </c>
    </row>
    <row r="54" spans="1:67">
      <c r="A54" s="17">
        <v>46049</v>
      </c>
      <c r="B54" s="15">
        <v>38.08</v>
      </c>
      <c r="C54" s="15">
        <v>-51.1</v>
      </c>
      <c r="D54" s="15">
        <v>32.979999999999997</v>
      </c>
      <c r="E54" s="15">
        <v>42.98</v>
      </c>
      <c r="F54" s="15">
        <v>15.77</v>
      </c>
      <c r="G54" s="15">
        <v>10.23</v>
      </c>
      <c r="H54" s="15">
        <v>0.43</v>
      </c>
      <c r="I54" s="15">
        <v>11.04</v>
      </c>
      <c r="J54" s="15">
        <v>47.56</v>
      </c>
      <c r="K54" s="15">
        <v>-11.89</v>
      </c>
      <c r="L54" s="15">
        <v>67.819999999999993</v>
      </c>
      <c r="M54" s="15">
        <v>-27.86</v>
      </c>
      <c r="N54" s="15">
        <v>70.650000000000006</v>
      </c>
      <c r="O54" s="15">
        <v>1.59</v>
      </c>
      <c r="P54" s="15">
        <v>-8.7899999999999991</v>
      </c>
      <c r="Q54">
        <v>0.21</v>
      </c>
      <c r="R54">
        <v>32.479999999999997</v>
      </c>
      <c r="S54">
        <v>62.09</v>
      </c>
      <c r="T54">
        <v>63.42</v>
      </c>
      <c r="U54">
        <v>64.180000000000007</v>
      </c>
      <c r="V54">
        <v>-7.01</v>
      </c>
      <c r="W54">
        <v>10.96</v>
      </c>
      <c r="X54">
        <v>143.34</v>
      </c>
      <c r="Y54">
        <v>15.26</v>
      </c>
      <c r="Z54">
        <v>5.51</v>
      </c>
      <c r="AA54">
        <v>-5.46</v>
      </c>
      <c r="AB54">
        <v>2.46</v>
      </c>
      <c r="AC54">
        <v>-20.440000000000001</v>
      </c>
      <c r="AD54">
        <v>-46.68</v>
      </c>
      <c r="AE54">
        <v>-21.5</v>
      </c>
      <c r="AF54">
        <v>-2.12</v>
      </c>
      <c r="AG54">
        <v>-26.94</v>
      </c>
      <c r="AH54">
        <v>56.36</v>
      </c>
      <c r="AI54">
        <v>77.040000000000006</v>
      </c>
      <c r="AJ54">
        <v>9.9700000000000006</v>
      </c>
      <c r="AK54">
        <v>-23.83</v>
      </c>
      <c r="AL54">
        <v>-16.89</v>
      </c>
      <c r="AM54">
        <v>0.04</v>
      </c>
      <c r="AN54">
        <v>12.88</v>
      </c>
      <c r="AO54">
        <v>-8.76</v>
      </c>
      <c r="AP54">
        <v>-47.13</v>
      </c>
      <c r="AQ54">
        <v>77.97</v>
      </c>
      <c r="AR54">
        <v>16.38</v>
      </c>
      <c r="AS54">
        <v>45.12</v>
      </c>
      <c r="AT54">
        <v>106.85</v>
      </c>
      <c r="AU54">
        <v>-6.75</v>
      </c>
      <c r="AV54">
        <v>-29.38</v>
      </c>
      <c r="AW54">
        <v>-4.7</v>
      </c>
      <c r="AX54">
        <v>71.67</v>
      </c>
      <c r="AY54">
        <v>2.0699999999999998</v>
      </c>
      <c r="AZ54">
        <v>1.02</v>
      </c>
      <c r="BA54">
        <v>58.84</v>
      </c>
      <c r="BB54">
        <v>48.36</v>
      </c>
      <c r="BC54">
        <v>-6.73</v>
      </c>
      <c r="BD54">
        <v>-7.3</v>
      </c>
      <c r="BE54">
        <v>-19.66</v>
      </c>
      <c r="BF54">
        <v>-14.58</v>
      </c>
      <c r="BG54">
        <v>-32.74</v>
      </c>
      <c r="BH54">
        <v>-13.92</v>
      </c>
      <c r="BI54">
        <v>102.24</v>
      </c>
      <c r="BJ54">
        <v>-14.29</v>
      </c>
      <c r="BK54">
        <v>88.2</v>
      </c>
      <c r="BL54">
        <v>-12.1</v>
      </c>
      <c r="BM54">
        <v>29.4</v>
      </c>
      <c r="BN54">
        <v>15.07</v>
      </c>
      <c r="BO54">
        <v>46.86</v>
      </c>
    </row>
    <row r="55" spans="1:67">
      <c r="A55" s="18">
        <v>46050</v>
      </c>
      <c r="B55" s="15">
        <v>37.700000000000003</v>
      </c>
      <c r="C55" s="15">
        <v>-50.23</v>
      </c>
      <c r="D55" s="15">
        <v>33.24</v>
      </c>
      <c r="E55" s="15">
        <v>43.51</v>
      </c>
      <c r="F55" s="15">
        <v>16.16</v>
      </c>
      <c r="G55" s="15">
        <v>10.16</v>
      </c>
      <c r="H55" s="15">
        <v>0.55000000000000004</v>
      </c>
      <c r="I55" s="15">
        <v>11.6</v>
      </c>
      <c r="J55" s="15">
        <v>47.65</v>
      </c>
      <c r="K55" s="15">
        <v>-12.08</v>
      </c>
      <c r="L55" s="15">
        <v>68.27</v>
      </c>
      <c r="M55" s="15">
        <v>-28.51</v>
      </c>
      <c r="N55" s="15">
        <v>71.16</v>
      </c>
      <c r="O55" s="15">
        <v>1.51</v>
      </c>
      <c r="P55" s="15">
        <v>-8.84</v>
      </c>
      <c r="Q55">
        <v>0.15</v>
      </c>
      <c r="R55">
        <v>33</v>
      </c>
      <c r="S55">
        <v>62.16</v>
      </c>
      <c r="T55">
        <v>64.02</v>
      </c>
      <c r="U55">
        <v>64.569999999999993</v>
      </c>
      <c r="V55">
        <v>-7.05</v>
      </c>
      <c r="W55">
        <v>11.56</v>
      </c>
      <c r="X55">
        <v>145.43</v>
      </c>
      <c r="Y55">
        <v>14.77</v>
      </c>
      <c r="Z55">
        <v>5.42</v>
      </c>
      <c r="AA55">
        <v>-5.5</v>
      </c>
      <c r="AB55">
        <v>2.4500000000000002</v>
      </c>
      <c r="AC55">
        <v>-20.39</v>
      </c>
      <c r="AD55">
        <v>-47.71</v>
      </c>
      <c r="AE55">
        <v>-21.58</v>
      </c>
      <c r="AF55">
        <v>-2.59</v>
      </c>
      <c r="AG55">
        <v>-27.12</v>
      </c>
      <c r="AH55">
        <v>56.28</v>
      </c>
      <c r="AI55">
        <v>78.12</v>
      </c>
      <c r="AJ55">
        <v>9.49</v>
      </c>
      <c r="AK55">
        <v>-24.04</v>
      </c>
      <c r="AL55">
        <v>-16.829999999999998</v>
      </c>
      <c r="AM55">
        <v>0.14000000000000001</v>
      </c>
      <c r="AN55">
        <v>13.04</v>
      </c>
      <c r="AO55">
        <v>-8.82</v>
      </c>
      <c r="AP55">
        <v>-47.66</v>
      </c>
      <c r="AQ55">
        <v>78.91</v>
      </c>
      <c r="AR55">
        <v>16.55</v>
      </c>
      <c r="AS55">
        <v>44.85</v>
      </c>
      <c r="AT55">
        <v>108.02</v>
      </c>
      <c r="AU55">
        <v>-6.63</v>
      </c>
      <c r="AV55">
        <v>-29.52</v>
      </c>
      <c r="AW55">
        <v>-4.7</v>
      </c>
      <c r="AX55">
        <v>71.819999999999993</v>
      </c>
      <c r="AY55">
        <v>2.12</v>
      </c>
      <c r="AZ55">
        <v>1</v>
      </c>
      <c r="BA55">
        <v>60.2</v>
      </c>
      <c r="BB55">
        <v>47.91</v>
      </c>
      <c r="BC55">
        <v>-6.71</v>
      </c>
      <c r="BD55">
        <v>-7.42</v>
      </c>
      <c r="BE55">
        <v>-19.940000000000001</v>
      </c>
      <c r="BF55">
        <v>-14.71</v>
      </c>
      <c r="BG55">
        <v>-33.35</v>
      </c>
      <c r="BH55">
        <v>-14.07</v>
      </c>
      <c r="BI55">
        <v>104.64</v>
      </c>
      <c r="BJ55">
        <v>-14.13</v>
      </c>
      <c r="BK55">
        <v>87.98</v>
      </c>
      <c r="BL55">
        <v>-11.99</v>
      </c>
      <c r="BM55">
        <v>29.95</v>
      </c>
      <c r="BN55">
        <v>14.95</v>
      </c>
      <c r="BO55">
        <v>47.98</v>
      </c>
    </row>
    <row r="56" spans="1:67">
      <c r="A56" s="17">
        <v>46051</v>
      </c>
      <c r="B56" s="15">
        <v>38.54</v>
      </c>
      <c r="C56" s="15">
        <v>-47.92</v>
      </c>
      <c r="D56" s="15">
        <v>33.69</v>
      </c>
      <c r="E56" s="15">
        <v>44.57</v>
      </c>
      <c r="F56" s="15">
        <v>15.35</v>
      </c>
      <c r="G56" s="15">
        <v>10.56</v>
      </c>
      <c r="H56" s="15">
        <v>0.61</v>
      </c>
      <c r="I56" s="15">
        <v>11.83</v>
      </c>
      <c r="J56" s="15">
        <v>50.61</v>
      </c>
      <c r="K56" s="15">
        <v>-12.14</v>
      </c>
      <c r="L56" s="15">
        <v>70.599999999999994</v>
      </c>
      <c r="M56" s="15">
        <v>-29.26</v>
      </c>
      <c r="N56" s="15">
        <v>71.739999999999995</v>
      </c>
      <c r="O56" s="15">
        <v>1.38</v>
      </c>
      <c r="P56" s="15">
        <v>-8.98</v>
      </c>
      <c r="Q56">
        <v>-0.19</v>
      </c>
      <c r="R56">
        <v>33.44</v>
      </c>
      <c r="S56">
        <v>64.510000000000005</v>
      </c>
      <c r="T56">
        <v>65.11</v>
      </c>
      <c r="U56">
        <v>64.59</v>
      </c>
      <c r="V56">
        <v>-7.29</v>
      </c>
      <c r="W56">
        <v>11.5</v>
      </c>
      <c r="X56">
        <v>145.44999999999999</v>
      </c>
      <c r="Y56">
        <v>14.7</v>
      </c>
      <c r="Z56">
        <v>5.4</v>
      </c>
      <c r="AA56">
        <v>-5.69</v>
      </c>
      <c r="AB56">
        <v>2.76</v>
      </c>
      <c r="AC56">
        <v>-20.5</v>
      </c>
      <c r="AD56">
        <v>-48.4</v>
      </c>
      <c r="AE56">
        <v>-22.18</v>
      </c>
      <c r="AF56">
        <v>-2.95</v>
      </c>
      <c r="AG56">
        <v>-27.69</v>
      </c>
      <c r="AH56">
        <v>58.37</v>
      </c>
      <c r="AI56">
        <v>80.09</v>
      </c>
      <c r="AJ56">
        <v>9.34</v>
      </c>
      <c r="AK56">
        <v>-24.39</v>
      </c>
      <c r="AL56">
        <v>-17.05</v>
      </c>
      <c r="AM56">
        <v>0.73</v>
      </c>
      <c r="AN56">
        <v>13.38</v>
      </c>
      <c r="AO56">
        <v>-8.84</v>
      </c>
      <c r="AP56">
        <v>-45.46</v>
      </c>
      <c r="AQ56">
        <v>81.2</v>
      </c>
      <c r="AR56">
        <v>16.16</v>
      </c>
      <c r="AS56">
        <v>46.14</v>
      </c>
      <c r="AT56">
        <v>109.32</v>
      </c>
      <c r="AU56">
        <v>-6.77</v>
      </c>
      <c r="AV56">
        <v>-30</v>
      </c>
      <c r="AW56">
        <v>-4.7699999999999996</v>
      </c>
      <c r="AX56">
        <v>75.06</v>
      </c>
      <c r="AY56">
        <v>2.04</v>
      </c>
      <c r="AZ56">
        <v>1.1200000000000001</v>
      </c>
      <c r="BA56">
        <v>61.55</v>
      </c>
      <c r="BB56">
        <v>48.57</v>
      </c>
      <c r="BC56">
        <v>-6.8</v>
      </c>
      <c r="BD56">
        <v>-7.62</v>
      </c>
      <c r="BE56">
        <v>-20.329999999999998</v>
      </c>
      <c r="BF56">
        <v>-15.08</v>
      </c>
      <c r="BG56">
        <v>-33.46</v>
      </c>
      <c r="BH56">
        <v>-14.46</v>
      </c>
      <c r="BI56">
        <v>104.68</v>
      </c>
      <c r="BJ56">
        <v>-14.09</v>
      </c>
      <c r="BK56">
        <v>87.66</v>
      </c>
      <c r="BL56">
        <v>-12.37</v>
      </c>
      <c r="BM56">
        <v>29.85</v>
      </c>
      <c r="BN56">
        <v>14.79</v>
      </c>
      <c r="BO56">
        <v>47.92</v>
      </c>
    </row>
    <row r="57" spans="1:67">
      <c r="A57" s="18">
        <v>46052</v>
      </c>
      <c r="B57" s="15">
        <v>40.200000000000003</v>
      </c>
      <c r="C57" s="15">
        <v>-48.46</v>
      </c>
      <c r="D57" s="15">
        <v>32.29</v>
      </c>
      <c r="E57" s="15">
        <v>44.14</v>
      </c>
      <c r="F57" s="15">
        <v>14.82</v>
      </c>
      <c r="G57" s="15">
        <v>9.57</v>
      </c>
      <c r="H57" s="15">
        <v>0.69</v>
      </c>
      <c r="I57" s="15">
        <v>11.76</v>
      </c>
      <c r="J57" s="15">
        <v>50.32</v>
      </c>
      <c r="K57" s="15">
        <v>-11.73</v>
      </c>
      <c r="L57" s="15">
        <v>66.86</v>
      </c>
      <c r="M57" s="15">
        <v>-27.72</v>
      </c>
      <c r="N57" s="15">
        <v>69.75</v>
      </c>
      <c r="O57" s="15">
        <v>1.02</v>
      </c>
      <c r="P57" s="15">
        <v>-8.7899999999999991</v>
      </c>
      <c r="Q57">
        <v>0.16</v>
      </c>
      <c r="R57">
        <v>30.82</v>
      </c>
      <c r="S57">
        <v>64.349999999999994</v>
      </c>
      <c r="T57">
        <v>63.32</v>
      </c>
      <c r="U57">
        <v>63.25</v>
      </c>
      <c r="V57">
        <v>-7.15</v>
      </c>
      <c r="W57">
        <v>9.9700000000000006</v>
      </c>
      <c r="X57">
        <v>137.4</v>
      </c>
      <c r="Y57">
        <v>13.91</v>
      </c>
      <c r="Z57">
        <v>5.36</v>
      </c>
      <c r="AA57">
        <v>-5.47</v>
      </c>
      <c r="AB57">
        <v>3.19</v>
      </c>
      <c r="AC57">
        <v>-20.61</v>
      </c>
      <c r="AD57">
        <v>-46.14</v>
      </c>
      <c r="AE57">
        <v>-22.67</v>
      </c>
      <c r="AF57">
        <v>-3.18</v>
      </c>
      <c r="AG57">
        <v>-27.82</v>
      </c>
      <c r="AH57">
        <v>60.6</v>
      </c>
      <c r="AI57">
        <v>78.25</v>
      </c>
      <c r="AJ57">
        <v>10.43</v>
      </c>
      <c r="AK57">
        <v>-24.29</v>
      </c>
      <c r="AL57">
        <v>-17.39</v>
      </c>
      <c r="AM57">
        <v>0.52</v>
      </c>
      <c r="AN57">
        <v>12.45</v>
      </c>
      <c r="AO57">
        <v>-8.6</v>
      </c>
      <c r="AP57">
        <v>-44.01</v>
      </c>
      <c r="AQ57">
        <v>79.23</v>
      </c>
      <c r="AR57">
        <v>16.04</v>
      </c>
      <c r="AS57">
        <v>47.14</v>
      </c>
      <c r="AT57">
        <v>104.64</v>
      </c>
      <c r="AU57">
        <v>-7.34</v>
      </c>
      <c r="AV57">
        <v>-30.49</v>
      </c>
      <c r="AW57">
        <v>-5.07</v>
      </c>
      <c r="AX57">
        <v>72.650000000000006</v>
      </c>
      <c r="AY57">
        <v>2.06</v>
      </c>
      <c r="AZ57">
        <v>0.92</v>
      </c>
      <c r="BA57">
        <v>59.09</v>
      </c>
      <c r="BB57">
        <v>50.52</v>
      </c>
      <c r="BC57">
        <v>-7.04</v>
      </c>
      <c r="BD57">
        <v>-7.44</v>
      </c>
      <c r="BE57">
        <v>-19.86</v>
      </c>
      <c r="BF57">
        <v>-14.46</v>
      </c>
      <c r="BG57">
        <v>-31.68</v>
      </c>
      <c r="BH57">
        <v>-14.51</v>
      </c>
      <c r="BI57">
        <v>96.87</v>
      </c>
      <c r="BJ57">
        <v>-14.14</v>
      </c>
      <c r="BK57">
        <v>84.57</v>
      </c>
      <c r="BL57">
        <v>-12.05</v>
      </c>
      <c r="BM57">
        <v>28.26</v>
      </c>
      <c r="BN57">
        <v>14.76</v>
      </c>
      <c r="BO57">
        <v>43.78</v>
      </c>
    </row>
    <row r="58" spans="1:67">
      <c r="A58" s="17">
        <v>46055</v>
      </c>
      <c r="B58" s="15">
        <v>39.46</v>
      </c>
      <c r="C58" s="15">
        <v>-53.24</v>
      </c>
      <c r="D58" s="15">
        <v>32.36</v>
      </c>
      <c r="E58" s="15">
        <v>42.78</v>
      </c>
      <c r="F58" s="15">
        <v>13.72</v>
      </c>
      <c r="G58" s="15">
        <v>9.33</v>
      </c>
      <c r="H58" s="15">
        <v>0.65</v>
      </c>
      <c r="I58" s="15">
        <v>10.15</v>
      </c>
      <c r="J58" s="15">
        <v>49.52</v>
      </c>
      <c r="K58" s="15">
        <v>-11.59</v>
      </c>
      <c r="L58" s="15">
        <v>66.959999999999994</v>
      </c>
      <c r="M58" s="15">
        <v>-26.52</v>
      </c>
      <c r="N58" s="15">
        <v>68.64</v>
      </c>
      <c r="O58" s="15">
        <v>1.42</v>
      </c>
      <c r="P58" s="15">
        <v>-8.49</v>
      </c>
      <c r="Q58">
        <v>0.89</v>
      </c>
      <c r="R58">
        <v>32.25</v>
      </c>
      <c r="S58">
        <v>60.9</v>
      </c>
      <c r="T58">
        <v>62.64</v>
      </c>
      <c r="U58">
        <v>62.93</v>
      </c>
      <c r="V58">
        <v>-6.66</v>
      </c>
      <c r="W58">
        <v>9.92</v>
      </c>
      <c r="X58">
        <v>137.4</v>
      </c>
      <c r="Y58">
        <v>14.39</v>
      </c>
      <c r="Z58">
        <v>5.43</v>
      </c>
      <c r="AA58">
        <v>-5.09</v>
      </c>
      <c r="AB58">
        <v>3.16</v>
      </c>
      <c r="AC58">
        <v>-20.84</v>
      </c>
      <c r="AD58">
        <v>-44.67</v>
      </c>
      <c r="AE58">
        <v>-21.56</v>
      </c>
      <c r="AF58">
        <v>-2.64</v>
      </c>
      <c r="AG58">
        <v>-26.58</v>
      </c>
      <c r="AH58">
        <v>59.01</v>
      </c>
      <c r="AI58">
        <v>74.86</v>
      </c>
      <c r="AJ58">
        <v>10.81</v>
      </c>
      <c r="AK58">
        <v>-23.63</v>
      </c>
      <c r="AL58">
        <v>-17.03</v>
      </c>
      <c r="AM58">
        <v>-0.15</v>
      </c>
      <c r="AN58">
        <v>12.93</v>
      </c>
      <c r="AO58">
        <v>-8.57</v>
      </c>
      <c r="AP58">
        <v>-44.24</v>
      </c>
      <c r="AQ58">
        <v>74.09</v>
      </c>
      <c r="AR58">
        <v>16.899999999999999</v>
      </c>
      <c r="AS58">
        <v>46.2</v>
      </c>
      <c r="AT58">
        <v>103.36</v>
      </c>
      <c r="AU58">
        <v>-7.14</v>
      </c>
      <c r="AV58">
        <v>-29.56</v>
      </c>
      <c r="AW58">
        <v>-4.83</v>
      </c>
      <c r="AX58">
        <v>66.14</v>
      </c>
      <c r="AY58">
        <v>2.11</v>
      </c>
      <c r="AZ58">
        <v>1.23</v>
      </c>
      <c r="BA58">
        <v>56</v>
      </c>
      <c r="BB58">
        <v>50.72</v>
      </c>
      <c r="BC58">
        <v>-6.74</v>
      </c>
      <c r="BD58">
        <v>-7.04</v>
      </c>
      <c r="BE58">
        <v>-19</v>
      </c>
      <c r="BF58">
        <v>-13.65</v>
      </c>
      <c r="BG58">
        <v>-31.37</v>
      </c>
      <c r="BH58">
        <v>-13.82</v>
      </c>
      <c r="BI58">
        <v>96.05</v>
      </c>
      <c r="BJ58">
        <v>-14.08</v>
      </c>
      <c r="BK58">
        <v>84.56</v>
      </c>
      <c r="BL58">
        <v>-13.12</v>
      </c>
      <c r="BM58">
        <v>29.39</v>
      </c>
      <c r="BN58">
        <v>15.03</v>
      </c>
      <c r="BO58">
        <v>43.55</v>
      </c>
    </row>
    <row r="59" spans="1:67">
      <c r="A59" s="18">
        <v>46056</v>
      </c>
      <c r="B59" s="15">
        <v>38.31</v>
      </c>
      <c r="C59" s="15">
        <v>-51.62</v>
      </c>
      <c r="D59" s="15">
        <v>33.19</v>
      </c>
      <c r="E59" s="15">
        <v>43.06</v>
      </c>
      <c r="F59" s="15">
        <v>14.34</v>
      </c>
      <c r="G59" s="15">
        <v>9.6</v>
      </c>
      <c r="H59" s="15">
        <v>0.91</v>
      </c>
      <c r="I59" s="15">
        <v>10.7</v>
      </c>
      <c r="J59" s="15">
        <v>49.74</v>
      </c>
      <c r="K59" s="15">
        <v>-11.84</v>
      </c>
      <c r="L59" s="15">
        <v>69.09</v>
      </c>
      <c r="M59" s="15">
        <v>-27.58</v>
      </c>
      <c r="N59" s="15">
        <v>69.28</v>
      </c>
      <c r="O59" s="15">
        <v>1.1499999999999999</v>
      </c>
      <c r="P59" s="15">
        <v>-8.56</v>
      </c>
      <c r="Q59">
        <v>0.97</v>
      </c>
      <c r="R59">
        <v>33.08</v>
      </c>
      <c r="S59">
        <v>59.58</v>
      </c>
      <c r="T59">
        <v>64.03</v>
      </c>
      <c r="U59">
        <v>63.13</v>
      </c>
      <c r="V59">
        <v>-6.7</v>
      </c>
      <c r="W59">
        <v>10.72</v>
      </c>
      <c r="X59">
        <v>140.61000000000001</v>
      </c>
      <c r="Y59">
        <v>13.71</v>
      </c>
      <c r="Z59">
        <v>5.28</v>
      </c>
      <c r="AA59">
        <v>-5.14</v>
      </c>
      <c r="AB59">
        <v>2.78</v>
      </c>
      <c r="AC59">
        <v>-20.63</v>
      </c>
      <c r="AD59">
        <v>-45.99</v>
      </c>
      <c r="AE59">
        <v>-21.58</v>
      </c>
      <c r="AF59">
        <v>-3.11</v>
      </c>
      <c r="AG59">
        <v>-26.81</v>
      </c>
      <c r="AH59">
        <v>57.44</v>
      </c>
      <c r="AI59">
        <v>77.19</v>
      </c>
      <c r="AJ59">
        <v>10.09</v>
      </c>
      <c r="AK59">
        <v>-24</v>
      </c>
      <c r="AL59">
        <v>-17.100000000000001</v>
      </c>
      <c r="AM59">
        <v>-0.56000000000000005</v>
      </c>
      <c r="AN59">
        <v>13.01</v>
      </c>
      <c r="AO59">
        <v>-8.85</v>
      </c>
      <c r="AP59">
        <v>-47.27</v>
      </c>
      <c r="AQ59">
        <v>74.400000000000006</v>
      </c>
      <c r="AR59">
        <v>17.170000000000002</v>
      </c>
      <c r="AS59">
        <v>44.51</v>
      </c>
      <c r="AT59">
        <v>106.04</v>
      </c>
      <c r="AU59">
        <v>-6.97</v>
      </c>
      <c r="AV59">
        <v>-29.19</v>
      </c>
      <c r="AW59">
        <v>-4.8099999999999996</v>
      </c>
      <c r="AX59">
        <v>64.63</v>
      </c>
      <c r="AY59">
        <v>2.09</v>
      </c>
      <c r="AZ59">
        <v>1.54</v>
      </c>
      <c r="BA59">
        <v>57.82</v>
      </c>
      <c r="BB59">
        <v>49.25</v>
      </c>
      <c r="BC59">
        <v>-6.79</v>
      </c>
      <c r="BD59">
        <v>-7.24</v>
      </c>
      <c r="BE59">
        <v>-19.41</v>
      </c>
      <c r="BF59">
        <v>-13.89</v>
      </c>
      <c r="BG59">
        <v>-32.229999999999997</v>
      </c>
      <c r="BH59">
        <v>-14.04</v>
      </c>
      <c r="BI59">
        <v>99.49</v>
      </c>
      <c r="BJ59">
        <v>-13.82</v>
      </c>
      <c r="BK59">
        <v>84.82</v>
      </c>
      <c r="BL59">
        <v>-12.94</v>
      </c>
      <c r="BM59">
        <v>29.71</v>
      </c>
      <c r="BN59">
        <v>14.82</v>
      </c>
      <c r="BO59">
        <v>44.58</v>
      </c>
    </row>
    <row r="60" spans="1:67">
      <c r="A60" s="17">
        <v>46057</v>
      </c>
      <c r="B60" s="15">
        <v>38.71</v>
      </c>
      <c r="C60" s="15">
        <v>-50.96</v>
      </c>
      <c r="D60" s="15">
        <v>33.369999999999997</v>
      </c>
      <c r="E60" s="15">
        <v>43.19</v>
      </c>
      <c r="F60" s="15">
        <v>13.74</v>
      </c>
      <c r="G60" s="15">
        <v>9.7799999999999994</v>
      </c>
      <c r="H60" s="15">
        <v>1.26</v>
      </c>
      <c r="I60" s="15">
        <v>11.1</v>
      </c>
      <c r="J60" s="15">
        <v>48.32</v>
      </c>
      <c r="K60" s="15">
        <v>-11.87</v>
      </c>
      <c r="L60" s="15">
        <v>67.02</v>
      </c>
      <c r="M60" s="15">
        <v>-27.64</v>
      </c>
      <c r="N60" s="15">
        <v>69.400000000000006</v>
      </c>
      <c r="O60" s="15">
        <v>1.1399999999999999</v>
      </c>
      <c r="P60" s="15">
        <v>-8.56</v>
      </c>
      <c r="Q60">
        <v>0.9</v>
      </c>
      <c r="R60">
        <v>32.520000000000003</v>
      </c>
      <c r="S60">
        <v>60.56</v>
      </c>
      <c r="T60">
        <v>64.180000000000007</v>
      </c>
      <c r="U60">
        <v>63.04</v>
      </c>
      <c r="V60">
        <v>-6.76</v>
      </c>
      <c r="W60">
        <v>10.76</v>
      </c>
      <c r="X60">
        <v>139.57</v>
      </c>
      <c r="Y60">
        <v>13.42</v>
      </c>
      <c r="Z60">
        <v>5.28</v>
      </c>
      <c r="AA60">
        <v>-5.16</v>
      </c>
      <c r="AB60">
        <v>2.54</v>
      </c>
      <c r="AC60">
        <v>-20.5</v>
      </c>
      <c r="AD60">
        <v>-46.22</v>
      </c>
      <c r="AE60">
        <v>-21.79</v>
      </c>
      <c r="AF60">
        <v>-3.51</v>
      </c>
      <c r="AG60">
        <v>-27</v>
      </c>
      <c r="AH60">
        <v>58.73</v>
      </c>
      <c r="AI60">
        <v>77.5</v>
      </c>
      <c r="AJ60">
        <v>9.84</v>
      </c>
      <c r="AK60">
        <v>-24.3</v>
      </c>
      <c r="AL60">
        <v>-17.100000000000001</v>
      </c>
      <c r="AM60">
        <v>-0.81</v>
      </c>
      <c r="AN60">
        <v>12.98</v>
      </c>
      <c r="AO60">
        <v>-8.89</v>
      </c>
      <c r="AP60">
        <v>-47.49</v>
      </c>
      <c r="AQ60">
        <v>75.2</v>
      </c>
      <c r="AR60">
        <v>17.79</v>
      </c>
      <c r="AS60">
        <v>44.75</v>
      </c>
      <c r="AT60">
        <v>104.62</v>
      </c>
      <c r="AU60">
        <v>-7.12</v>
      </c>
      <c r="AV60">
        <v>-29.65</v>
      </c>
      <c r="AW60">
        <v>-4.87</v>
      </c>
      <c r="AX60">
        <v>65.77</v>
      </c>
      <c r="AY60">
        <v>2.11</v>
      </c>
      <c r="AZ60">
        <v>1.21</v>
      </c>
      <c r="BA60">
        <v>58.62</v>
      </c>
      <c r="BB60">
        <v>49.43</v>
      </c>
      <c r="BC60">
        <v>-6.85</v>
      </c>
      <c r="BD60">
        <v>-7.31</v>
      </c>
      <c r="BE60">
        <v>-19.53</v>
      </c>
      <c r="BF60">
        <v>-13.89</v>
      </c>
      <c r="BG60">
        <v>-32.25</v>
      </c>
      <c r="BH60">
        <v>-14.14</v>
      </c>
      <c r="BI60">
        <v>99.34</v>
      </c>
      <c r="BJ60">
        <v>-13.76</v>
      </c>
      <c r="BK60">
        <v>84.24</v>
      </c>
      <c r="BL60">
        <v>-12.72</v>
      </c>
      <c r="BM60">
        <v>29.94</v>
      </c>
      <c r="BN60">
        <v>14.76</v>
      </c>
      <c r="BO60">
        <v>44.05</v>
      </c>
    </row>
    <row r="61" spans="1:67">
      <c r="A61" s="18">
        <v>46058</v>
      </c>
      <c r="B61" s="15">
        <v>39.14</v>
      </c>
      <c r="C61" s="15">
        <v>-52.31</v>
      </c>
      <c r="D61" s="15">
        <v>33.11</v>
      </c>
      <c r="E61" s="15">
        <v>42.74</v>
      </c>
      <c r="F61" s="15">
        <v>12.89</v>
      </c>
      <c r="G61" s="15">
        <v>9.57</v>
      </c>
      <c r="H61" s="15">
        <v>1.1299999999999999</v>
      </c>
      <c r="I61" s="15">
        <v>10.66</v>
      </c>
      <c r="J61" s="15">
        <v>48.86</v>
      </c>
      <c r="K61" s="15">
        <v>-11.82</v>
      </c>
      <c r="L61" s="15">
        <v>66.17</v>
      </c>
      <c r="M61" s="15">
        <v>-27.13</v>
      </c>
      <c r="N61" s="15">
        <v>68.8</v>
      </c>
      <c r="O61" s="15">
        <v>1.1499999999999999</v>
      </c>
      <c r="P61" s="15">
        <v>-8.49</v>
      </c>
      <c r="Q61">
        <v>0.94</v>
      </c>
      <c r="R61">
        <v>32.5</v>
      </c>
      <c r="S61">
        <v>60.88</v>
      </c>
      <c r="T61">
        <v>63.65</v>
      </c>
      <c r="U61">
        <v>62.9</v>
      </c>
      <c r="V61">
        <v>-6.69</v>
      </c>
      <c r="W61">
        <v>10.56</v>
      </c>
      <c r="X61">
        <v>139.62</v>
      </c>
      <c r="Y61">
        <v>13.37</v>
      </c>
      <c r="Z61">
        <v>5.2</v>
      </c>
      <c r="AA61">
        <v>-5.09</v>
      </c>
      <c r="AB61">
        <v>2.61</v>
      </c>
      <c r="AC61">
        <v>-20.7</v>
      </c>
      <c r="AD61">
        <v>-45.67</v>
      </c>
      <c r="AE61">
        <v>-21.58</v>
      </c>
      <c r="AF61">
        <v>-3.53</v>
      </c>
      <c r="AG61">
        <v>-26.73</v>
      </c>
      <c r="AH61">
        <v>59.49</v>
      </c>
      <c r="AI61">
        <v>76.13</v>
      </c>
      <c r="AJ61">
        <v>10.09</v>
      </c>
      <c r="AK61">
        <v>-24.21</v>
      </c>
      <c r="AL61">
        <v>-17.29</v>
      </c>
      <c r="AM61">
        <v>-0.46</v>
      </c>
      <c r="AN61">
        <v>12.74</v>
      </c>
      <c r="AO61">
        <v>-8.8000000000000007</v>
      </c>
      <c r="AP61">
        <v>-45.42</v>
      </c>
      <c r="AQ61">
        <v>74.75</v>
      </c>
      <c r="AR61">
        <v>18.63</v>
      </c>
      <c r="AS61">
        <v>45.66</v>
      </c>
      <c r="AT61">
        <v>103.79</v>
      </c>
      <c r="AU61">
        <v>-7.17</v>
      </c>
      <c r="AV61">
        <v>-29.74</v>
      </c>
      <c r="AW61">
        <v>-4.87</v>
      </c>
      <c r="AX61">
        <v>66.319999999999993</v>
      </c>
      <c r="AY61">
        <v>2.2000000000000002</v>
      </c>
      <c r="AZ61">
        <v>1.23</v>
      </c>
      <c r="BA61">
        <v>57.58</v>
      </c>
      <c r="BB61">
        <v>50.18</v>
      </c>
      <c r="BC61">
        <v>-6.83</v>
      </c>
      <c r="BD61">
        <v>-7.19</v>
      </c>
      <c r="BE61">
        <v>-19.29</v>
      </c>
      <c r="BF61">
        <v>-13.86</v>
      </c>
      <c r="BG61">
        <v>-32.07</v>
      </c>
      <c r="BH61">
        <v>-14.01</v>
      </c>
      <c r="BI61">
        <v>98.64</v>
      </c>
      <c r="BJ61">
        <v>-13.47</v>
      </c>
      <c r="BK61">
        <v>84.12</v>
      </c>
      <c r="BL61">
        <v>-12.67</v>
      </c>
      <c r="BM61">
        <v>29.42</v>
      </c>
      <c r="BN61">
        <v>14.82</v>
      </c>
      <c r="BO61">
        <v>43.35</v>
      </c>
    </row>
    <row r="62" spans="1:67">
      <c r="A62" s="17">
        <v>46059</v>
      </c>
      <c r="B62" s="15">
        <v>39.6</v>
      </c>
      <c r="C62" s="15">
        <v>-51.75</v>
      </c>
      <c r="D62" s="15">
        <v>32.82</v>
      </c>
      <c r="E62" s="15">
        <v>42.89</v>
      </c>
      <c r="F62" s="15">
        <v>13.52</v>
      </c>
      <c r="G62" s="15">
        <v>9.2799999999999994</v>
      </c>
      <c r="H62" s="15">
        <v>1.24</v>
      </c>
      <c r="I62" s="15">
        <v>10.79</v>
      </c>
      <c r="J62" s="15">
        <v>49.41</v>
      </c>
      <c r="K62" s="15">
        <v>-11.94</v>
      </c>
      <c r="L62" s="15">
        <v>66.540000000000006</v>
      </c>
      <c r="M62" s="15">
        <v>-27.44</v>
      </c>
      <c r="N62" s="15">
        <v>68.83</v>
      </c>
      <c r="O62" s="15">
        <v>0.88</v>
      </c>
      <c r="P62" s="15">
        <v>-8.6</v>
      </c>
      <c r="Q62">
        <v>0.72</v>
      </c>
      <c r="R62">
        <v>32.75</v>
      </c>
      <c r="S62">
        <v>63.08</v>
      </c>
      <c r="T62">
        <v>64.290000000000006</v>
      </c>
      <c r="U62">
        <v>63.18</v>
      </c>
      <c r="V62">
        <v>-6.81</v>
      </c>
      <c r="W62">
        <v>10.75</v>
      </c>
      <c r="X62">
        <v>140.07</v>
      </c>
      <c r="Y62">
        <v>12.71</v>
      </c>
      <c r="Z62">
        <v>5.12</v>
      </c>
      <c r="AA62">
        <v>-5.23</v>
      </c>
      <c r="AB62">
        <v>2.34</v>
      </c>
      <c r="AC62">
        <v>-20.57</v>
      </c>
      <c r="AD62">
        <v>-46.06</v>
      </c>
      <c r="AE62">
        <v>-21.76</v>
      </c>
      <c r="AF62">
        <v>-3.96</v>
      </c>
      <c r="AG62">
        <v>-26.94</v>
      </c>
      <c r="AH62">
        <v>60.93</v>
      </c>
      <c r="AI62">
        <v>76.78</v>
      </c>
      <c r="AJ62">
        <v>9.74</v>
      </c>
      <c r="AK62">
        <v>-24.33</v>
      </c>
      <c r="AL62">
        <v>-17.41</v>
      </c>
      <c r="AM62">
        <v>-0.28999999999999998</v>
      </c>
      <c r="AN62">
        <v>12.74</v>
      </c>
      <c r="AO62">
        <v>-8.85</v>
      </c>
      <c r="AP62">
        <v>-45.13</v>
      </c>
      <c r="AQ62">
        <v>76.52</v>
      </c>
      <c r="AR62">
        <v>18.690000000000001</v>
      </c>
      <c r="AS62">
        <v>46.25</v>
      </c>
      <c r="AT62">
        <v>104.38</v>
      </c>
      <c r="AU62">
        <v>-7.12</v>
      </c>
      <c r="AV62">
        <v>-30</v>
      </c>
      <c r="AW62">
        <v>-4.92</v>
      </c>
      <c r="AX62">
        <v>69.22</v>
      </c>
      <c r="AY62">
        <v>2.2400000000000002</v>
      </c>
      <c r="AZ62">
        <v>1.2</v>
      </c>
      <c r="BA62">
        <v>58.9</v>
      </c>
      <c r="BB62">
        <v>50.26</v>
      </c>
      <c r="BC62">
        <v>-6.86</v>
      </c>
      <c r="BD62">
        <v>-7.26</v>
      </c>
      <c r="BE62">
        <v>-19.510000000000002</v>
      </c>
      <c r="BF62">
        <v>-14.15</v>
      </c>
      <c r="BG62">
        <v>-32.340000000000003</v>
      </c>
      <c r="BH62">
        <v>-14.14</v>
      </c>
      <c r="BI62">
        <v>99.46</v>
      </c>
      <c r="BJ62">
        <v>-13.92</v>
      </c>
      <c r="BK62">
        <v>83.57</v>
      </c>
      <c r="BL62">
        <v>-12.69</v>
      </c>
      <c r="BM62">
        <v>29.32</v>
      </c>
      <c r="BN62">
        <v>14.73</v>
      </c>
      <c r="BO62">
        <v>43.34</v>
      </c>
    </row>
    <row r="63" spans="1:67">
      <c r="A63" s="18">
        <v>46062</v>
      </c>
      <c r="B63" s="15">
        <v>39.75</v>
      </c>
      <c r="C63" s="15">
        <v>-51.38</v>
      </c>
      <c r="D63" s="15">
        <v>33.119999999999997</v>
      </c>
      <c r="E63" s="15">
        <v>43.12</v>
      </c>
      <c r="F63" s="15">
        <v>13.9</v>
      </c>
      <c r="G63" s="15">
        <v>9.56</v>
      </c>
      <c r="H63" s="15">
        <v>1.47</v>
      </c>
      <c r="I63" s="15">
        <v>10.87</v>
      </c>
      <c r="J63" s="15">
        <v>50.35</v>
      </c>
      <c r="K63" s="15">
        <v>-12.01</v>
      </c>
      <c r="L63" s="15">
        <v>67.63</v>
      </c>
      <c r="M63" s="15">
        <v>-27.91</v>
      </c>
      <c r="N63" s="15">
        <v>69.45</v>
      </c>
      <c r="O63" s="15">
        <v>0.77</v>
      </c>
      <c r="P63" s="15">
        <v>-8.64</v>
      </c>
      <c r="Q63">
        <v>0.79</v>
      </c>
      <c r="R63">
        <v>33.04</v>
      </c>
      <c r="S63">
        <v>63.36</v>
      </c>
      <c r="T63">
        <v>65</v>
      </c>
      <c r="U63">
        <v>63.31</v>
      </c>
      <c r="V63">
        <v>-6.8</v>
      </c>
      <c r="W63">
        <v>11.09</v>
      </c>
      <c r="X63">
        <v>140.44999999999999</v>
      </c>
      <c r="Y63">
        <v>12.74</v>
      </c>
      <c r="Z63">
        <v>5.12</v>
      </c>
      <c r="AA63">
        <v>-5.25</v>
      </c>
      <c r="AB63">
        <v>2.09</v>
      </c>
      <c r="AC63">
        <v>-20.49</v>
      </c>
      <c r="AD63">
        <v>-46.54</v>
      </c>
      <c r="AE63">
        <v>-21.87</v>
      </c>
      <c r="AF63">
        <v>-4.1100000000000003</v>
      </c>
      <c r="AG63">
        <v>-27.1</v>
      </c>
      <c r="AH63">
        <v>62.24</v>
      </c>
      <c r="AI63">
        <v>77.88</v>
      </c>
      <c r="AJ63">
        <v>9.3699999999999992</v>
      </c>
      <c r="AK63">
        <v>-24.55</v>
      </c>
      <c r="AL63">
        <v>-17.3</v>
      </c>
      <c r="AM63">
        <v>-0.75</v>
      </c>
      <c r="AN63">
        <v>12.93</v>
      </c>
      <c r="AO63">
        <v>-9.0399999999999991</v>
      </c>
      <c r="AP63">
        <v>-45.54</v>
      </c>
      <c r="AQ63">
        <v>76.16</v>
      </c>
      <c r="AR63">
        <v>18.27</v>
      </c>
      <c r="AS63">
        <v>46.09</v>
      </c>
      <c r="AT63">
        <v>105.34</v>
      </c>
      <c r="AU63">
        <v>-7.09</v>
      </c>
      <c r="AV63">
        <v>-30.13</v>
      </c>
      <c r="AW63">
        <v>-4.9400000000000004</v>
      </c>
      <c r="AX63">
        <v>68.03</v>
      </c>
      <c r="AY63">
        <v>2.2400000000000002</v>
      </c>
      <c r="AZ63">
        <v>1.27</v>
      </c>
      <c r="BA63">
        <v>59.96</v>
      </c>
      <c r="BB63">
        <v>50.33</v>
      </c>
      <c r="BC63">
        <v>-6.8</v>
      </c>
      <c r="BD63">
        <v>-7.34</v>
      </c>
      <c r="BE63">
        <v>-19.68</v>
      </c>
      <c r="BF63">
        <v>-14.16</v>
      </c>
      <c r="BG63">
        <v>-32.61</v>
      </c>
      <c r="BH63">
        <v>-14.25</v>
      </c>
      <c r="BI63">
        <v>100.58</v>
      </c>
      <c r="BJ63">
        <v>-13.77</v>
      </c>
      <c r="BK63">
        <v>83.91</v>
      </c>
      <c r="BL63">
        <v>-12.86</v>
      </c>
      <c r="BM63">
        <v>29.67</v>
      </c>
      <c r="BN63">
        <v>14.68</v>
      </c>
      <c r="BO63">
        <v>43.38</v>
      </c>
    </row>
    <row r="64" spans="1:67">
      <c r="A64" s="17">
        <v>46063</v>
      </c>
      <c r="B64" s="15">
        <v>39.58</v>
      </c>
      <c r="C64" s="15">
        <v>-52</v>
      </c>
      <c r="D64" s="15">
        <v>33.08</v>
      </c>
      <c r="E64" s="15">
        <v>42.66</v>
      </c>
      <c r="F64" s="15">
        <v>13.65</v>
      </c>
      <c r="G64" s="15">
        <v>9.65</v>
      </c>
      <c r="H64" s="15">
        <v>1.47</v>
      </c>
      <c r="I64" s="15">
        <v>10.79</v>
      </c>
      <c r="J64" s="15">
        <v>49.81</v>
      </c>
      <c r="K64" s="15">
        <v>-11.97</v>
      </c>
      <c r="L64" s="15">
        <v>67.41</v>
      </c>
      <c r="M64" s="15">
        <v>-27.73</v>
      </c>
      <c r="N64" s="15">
        <v>68.87</v>
      </c>
      <c r="O64" s="15">
        <v>0.63</v>
      </c>
      <c r="P64" s="15">
        <v>-8.57</v>
      </c>
      <c r="Q64">
        <v>0.98</v>
      </c>
      <c r="R64">
        <v>32.71</v>
      </c>
      <c r="S64">
        <v>62.45</v>
      </c>
      <c r="T64">
        <v>64.489999999999995</v>
      </c>
      <c r="U64">
        <v>63.09</v>
      </c>
      <c r="V64">
        <v>-6.69</v>
      </c>
      <c r="W64">
        <v>11.06</v>
      </c>
      <c r="X64">
        <v>138.94</v>
      </c>
      <c r="Y64">
        <v>12.47</v>
      </c>
      <c r="Z64">
        <v>5.14</v>
      </c>
      <c r="AA64">
        <v>-5.15</v>
      </c>
      <c r="AB64">
        <v>1.95</v>
      </c>
      <c r="AC64">
        <v>-20.37</v>
      </c>
      <c r="AD64">
        <v>-46.18</v>
      </c>
      <c r="AE64">
        <v>-21.7</v>
      </c>
      <c r="AF64">
        <v>-4.22</v>
      </c>
      <c r="AG64">
        <v>-26.91</v>
      </c>
      <c r="AH64">
        <v>62.02</v>
      </c>
      <c r="AI64">
        <v>77.27</v>
      </c>
      <c r="AJ64">
        <v>9.43</v>
      </c>
      <c r="AK64">
        <v>-24.43</v>
      </c>
      <c r="AL64">
        <v>-17.190000000000001</v>
      </c>
      <c r="AM64">
        <v>-1.21</v>
      </c>
      <c r="AN64">
        <v>12.87</v>
      </c>
      <c r="AO64">
        <v>-9.07</v>
      </c>
      <c r="AP64">
        <v>-46.86</v>
      </c>
      <c r="AQ64">
        <v>74.84</v>
      </c>
      <c r="AR64">
        <v>17.52</v>
      </c>
      <c r="AS64">
        <v>45.42</v>
      </c>
      <c r="AT64">
        <v>104.93</v>
      </c>
      <c r="AU64">
        <v>-7.07</v>
      </c>
      <c r="AV64">
        <v>-29.92</v>
      </c>
      <c r="AW64">
        <v>-4.93</v>
      </c>
      <c r="AX64">
        <v>65.69</v>
      </c>
      <c r="AY64">
        <v>2.29</v>
      </c>
      <c r="AZ64">
        <v>1.35</v>
      </c>
      <c r="BA64">
        <v>59.66</v>
      </c>
      <c r="BB64">
        <v>50.19</v>
      </c>
      <c r="BC64">
        <v>-6.72</v>
      </c>
      <c r="BD64">
        <v>-7.28</v>
      </c>
      <c r="BE64">
        <v>-19.54</v>
      </c>
      <c r="BF64">
        <v>-13.96</v>
      </c>
      <c r="BG64">
        <v>-32.43</v>
      </c>
      <c r="BH64">
        <v>-14.13</v>
      </c>
      <c r="BI64">
        <v>99.88</v>
      </c>
      <c r="BJ64">
        <v>-13.56</v>
      </c>
      <c r="BK64">
        <v>83.25</v>
      </c>
      <c r="BL64">
        <v>-12.86</v>
      </c>
      <c r="BM64">
        <v>29.44</v>
      </c>
      <c r="BN64">
        <v>14.7</v>
      </c>
      <c r="BO64">
        <v>43.11</v>
      </c>
    </row>
    <row r="65" spans="1:67">
      <c r="A65" s="18">
        <v>46064</v>
      </c>
      <c r="B65" s="15">
        <v>40.03</v>
      </c>
      <c r="C65" s="15">
        <v>-51.81</v>
      </c>
      <c r="D65" s="15">
        <v>33.14</v>
      </c>
      <c r="E65" s="15">
        <v>42.79</v>
      </c>
      <c r="F65" s="15">
        <v>13.52</v>
      </c>
      <c r="G65" s="15">
        <v>9.65</v>
      </c>
      <c r="H65" s="15">
        <v>1.62</v>
      </c>
      <c r="I65" s="15">
        <v>10.73</v>
      </c>
      <c r="J65" s="15">
        <v>50.59</v>
      </c>
      <c r="K65" s="15">
        <v>-12.03</v>
      </c>
      <c r="L65" s="15">
        <v>67.66</v>
      </c>
      <c r="M65" s="15">
        <v>-28.01</v>
      </c>
      <c r="N65" s="15">
        <v>69.180000000000007</v>
      </c>
      <c r="O65" s="15">
        <v>0.72</v>
      </c>
      <c r="P65" s="15">
        <v>-8.61</v>
      </c>
      <c r="Q65">
        <v>0.87</v>
      </c>
      <c r="R65">
        <v>32.64</v>
      </c>
      <c r="S65">
        <v>63.62</v>
      </c>
      <c r="T65">
        <v>65.180000000000007</v>
      </c>
      <c r="U65">
        <v>63.18</v>
      </c>
      <c r="V65">
        <v>-6.74</v>
      </c>
      <c r="W65">
        <v>11.26</v>
      </c>
      <c r="X65">
        <v>139.18</v>
      </c>
      <c r="Y65">
        <v>12.51</v>
      </c>
      <c r="Z65">
        <v>5.14</v>
      </c>
      <c r="AA65">
        <v>-5.18</v>
      </c>
      <c r="AB65">
        <v>1.71</v>
      </c>
      <c r="AC65">
        <v>-20.36</v>
      </c>
      <c r="AD65">
        <v>-46.47</v>
      </c>
      <c r="AE65">
        <v>-21.82</v>
      </c>
      <c r="AF65">
        <v>-4.37</v>
      </c>
      <c r="AG65">
        <v>-27.06</v>
      </c>
      <c r="AH65">
        <v>63.66</v>
      </c>
      <c r="AI65">
        <v>77.94</v>
      </c>
      <c r="AJ65">
        <v>9.1</v>
      </c>
      <c r="AK65">
        <v>-24.62</v>
      </c>
      <c r="AL65">
        <v>-17.2</v>
      </c>
      <c r="AM65">
        <v>-1.37</v>
      </c>
      <c r="AN65">
        <v>12.88</v>
      </c>
      <c r="AO65">
        <v>-9.19</v>
      </c>
      <c r="AP65">
        <v>-46.3</v>
      </c>
      <c r="AQ65">
        <v>75.83</v>
      </c>
      <c r="AR65">
        <v>17.8</v>
      </c>
      <c r="AS65">
        <v>45.87</v>
      </c>
      <c r="AT65">
        <v>105.45</v>
      </c>
      <c r="AU65">
        <v>-7.04</v>
      </c>
      <c r="AV65">
        <v>-30.17</v>
      </c>
      <c r="AW65">
        <v>-4.97</v>
      </c>
      <c r="AX65">
        <v>66.489999999999995</v>
      </c>
      <c r="AY65">
        <v>2.33</v>
      </c>
      <c r="AZ65">
        <v>1.35</v>
      </c>
      <c r="BA65">
        <v>60.53</v>
      </c>
      <c r="BB65">
        <v>50.5</v>
      </c>
      <c r="BC65">
        <v>-6.76</v>
      </c>
      <c r="BD65">
        <v>-7.34</v>
      </c>
      <c r="BE65">
        <v>-19.739999999999998</v>
      </c>
      <c r="BF65">
        <v>-14.1</v>
      </c>
      <c r="BG65">
        <v>-32.619999999999997</v>
      </c>
      <c r="BH65">
        <v>-14.22</v>
      </c>
      <c r="BI65">
        <v>100.56</v>
      </c>
      <c r="BJ65">
        <v>-13.62</v>
      </c>
      <c r="BK65">
        <v>83.42</v>
      </c>
      <c r="BL65">
        <v>-12.76</v>
      </c>
      <c r="BM65">
        <v>29.87</v>
      </c>
      <c r="BN65">
        <v>14.64</v>
      </c>
      <c r="BO65">
        <v>43.18</v>
      </c>
    </row>
    <row r="66" spans="1:67">
      <c r="A66" s="17">
        <v>46065</v>
      </c>
      <c r="B66" s="15">
        <v>40.590000000000003</v>
      </c>
      <c r="C66" s="15">
        <v>-53.88</v>
      </c>
      <c r="D66" s="15">
        <v>32.97</v>
      </c>
      <c r="E66" s="15">
        <v>42.9</v>
      </c>
      <c r="F66" s="15">
        <v>13.59</v>
      </c>
      <c r="G66" s="15">
        <v>9.6</v>
      </c>
      <c r="H66" s="15">
        <v>1.7</v>
      </c>
      <c r="I66" s="15">
        <v>10.38</v>
      </c>
      <c r="J66" s="15">
        <v>50.08</v>
      </c>
      <c r="K66" s="15">
        <v>-11.9</v>
      </c>
      <c r="L66" s="15">
        <v>66.34</v>
      </c>
      <c r="M66" s="15">
        <v>-27.35</v>
      </c>
      <c r="N66" s="15">
        <v>68.42</v>
      </c>
      <c r="O66" s="15">
        <v>0.72</v>
      </c>
      <c r="P66" s="15">
        <v>-8.5399999999999991</v>
      </c>
      <c r="Q66">
        <v>0.8</v>
      </c>
      <c r="R66">
        <v>32.1</v>
      </c>
      <c r="S66">
        <v>63.95</v>
      </c>
      <c r="T66">
        <v>63.96</v>
      </c>
      <c r="U66">
        <v>62.66</v>
      </c>
      <c r="V66">
        <v>-6.67</v>
      </c>
      <c r="W66">
        <v>10.82</v>
      </c>
      <c r="X66">
        <v>137.15</v>
      </c>
      <c r="Y66">
        <v>12.55</v>
      </c>
      <c r="Z66">
        <v>5.13</v>
      </c>
      <c r="AA66">
        <v>-5.13</v>
      </c>
      <c r="AB66">
        <v>1.91</v>
      </c>
      <c r="AC66">
        <v>-20.49</v>
      </c>
      <c r="AD66">
        <v>-45.5</v>
      </c>
      <c r="AE66">
        <v>-21.76</v>
      </c>
      <c r="AF66">
        <v>-4.3600000000000003</v>
      </c>
      <c r="AG66">
        <v>-26.86</v>
      </c>
      <c r="AH66">
        <v>64.23</v>
      </c>
      <c r="AI66">
        <v>76.14</v>
      </c>
      <c r="AJ66">
        <v>9.3699999999999992</v>
      </c>
      <c r="AK66">
        <v>-24.56</v>
      </c>
      <c r="AL66">
        <v>-17.510000000000002</v>
      </c>
      <c r="AM66">
        <v>-1.1100000000000001</v>
      </c>
      <c r="AN66">
        <v>12.57</v>
      </c>
      <c r="AO66">
        <v>-9.07</v>
      </c>
      <c r="AP66">
        <v>-45.4</v>
      </c>
      <c r="AQ66">
        <v>75.55</v>
      </c>
      <c r="AR66">
        <v>17.77</v>
      </c>
      <c r="AS66">
        <v>46.57</v>
      </c>
      <c r="AT66">
        <v>103.84</v>
      </c>
      <c r="AU66">
        <v>-7.22</v>
      </c>
      <c r="AV66">
        <v>-30.38</v>
      </c>
      <c r="AW66">
        <v>-4.9400000000000004</v>
      </c>
      <c r="AX66">
        <v>67.63</v>
      </c>
      <c r="AY66">
        <v>2.4900000000000002</v>
      </c>
      <c r="AZ66">
        <v>1.3</v>
      </c>
      <c r="BA66">
        <v>59.35</v>
      </c>
      <c r="BB66">
        <v>51.04</v>
      </c>
      <c r="BC66">
        <v>-6.7</v>
      </c>
      <c r="BD66">
        <v>-7.16</v>
      </c>
      <c r="BE66">
        <v>-19.41</v>
      </c>
      <c r="BF66">
        <v>-14.15</v>
      </c>
      <c r="BG66">
        <v>-32.22</v>
      </c>
      <c r="BH66">
        <v>-14.08</v>
      </c>
      <c r="BI66">
        <v>98.62</v>
      </c>
      <c r="BJ66">
        <v>-13.15</v>
      </c>
      <c r="BK66">
        <v>83.01</v>
      </c>
      <c r="BL66">
        <v>-12.73</v>
      </c>
      <c r="BM66">
        <v>29.92</v>
      </c>
      <c r="BN66">
        <v>14.67</v>
      </c>
      <c r="BO66">
        <v>42.26</v>
      </c>
    </row>
    <row r="67" spans="1:67">
      <c r="A67" s="18">
        <v>46066</v>
      </c>
      <c r="B67" s="15">
        <v>40.17</v>
      </c>
      <c r="C67" s="15">
        <v>-53.83</v>
      </c>
      <c r="D67" s="15">
        <v>32.979999999999997</v>
      </c>
      <c r="E67" s="15">
        <v>42.53</v>
      </c>
      <c r="F67" s="15">
        <v>13.12</v>
      </c>
      <c r="G67" s="15">
        <v>9.3699999999999992</v>
      </c>
      <c r="H67" s="15">
        <v>1.65</v>
      </c>
      <c r="I67" s="15">
        <v>10.39</v>
      </c>
      <c r="J67" s="15">
        <v>49.82</v>
      </c>
      <c r="K67" s="15">
        <v>-11.97</v>
      </c>
      <c r="L67" s="15">
        <v>66.45</v>
      </c>
      <c r="M67" s="15">
        <v>-27.4</v>
      </c>
      <c r="N67" s="15">
        <v>68.91</v>
      </c>
      <c r="O67" s="15">
        <v>0.75</v>
      </c>
      <c r="P67" s="15">
        <v>-8.5299999999999994</v>
      </c>
      <c r="Q67">
        <v>0.84</v>
      </c>
      <c r="R67">
        <v>32.43</v>
      </c>
      <c r="S67">
        <v>63.69</v>
      </c>
      <c r="T67">
        <v>64.14</v>
      </c>
      <c r="U67">
        <v>63.06</v>
      </c>
      <c r="V67">
        <v>-6.65</v>
      </c>
      <c r="W67">
        <v>11.09</v>
      </c>
      <c r="X67">
        <v>138.41</v>
      </c>
      <c r="Y67">
        <v>12.52</v>
      </c>
      <c r="Z67">
        <v>5.08</v>
      </c>
      <c r="AA67">
        <v>-5.12</v>
      </c>
      <c r="AB67">
        <v>1.86</v>
      </c>
      <c r="AC67">
        <v>-20.43</v>
      </c>
      <c r="AD67">
        <v>-45.9</v>
      </c>
      <c r="AE67">
        <v>-21.68</v>
      </c>
      <c r="AF67">
        <v>-4.18</v>
      </c>
      <c r="AG67">
        <v>-26.83</v>
      </c>
      <c r="AH67">
        <v>63.66</v>
      </c>
      <c r="AI67">
        <v>76.16</v>
      </c>
      <c r="AJ67">
        <v>9.2200000000000006</v>
      </c>
      <c r="AK67">
        <v>-24.54</v>
      </c>
      <c r="AL67">
        <v>-17.37</v>
      </c>
      <c r="AM67">
        <v>-1.06</v>
      </c>
      <c r="AN67">
        <v>12.66</v>
      </c>
      <c r="AO67">
        <v>-9.16</v>
      </c>
      <c r="AP67">
        <v>-45.94</v>
      </c>
      <c r="AQ67">
        <v>75.23</v>
      </c>
      <c r="AR67">
        <v>17.850000000000001</v>
      </c>
      <c r="AS67">
        <v>46.15</v>
      </c>
      <c r="AT67">
        <v>104.41</v>
      </c>
      <c r="AU67">
        <v>-7.12</v>
      </c>
      <c r="AV67">
        <v>-30.28</v>
      </c>
      <c r="AW67">
        <v>-4.93</v>
      </c>
      <c r="AX67">
        <v>66.989999999999995</v>
      </c>
      <c r="AY67">
        <v>2.4500000000000002</v>
      </c>
      <c r="AZ67">
        <v>1.3</v>
      </c>
      <c r="BA67">
        <v>59.58</v>
      </c>
      <c r="BB67">
        <v>50.7</v>
      </c>
      <c r="BC67">
        <v>-6.71</v>
      </c>
      <c r="BD67">
        <v>-7.18</v>
      </c>
      <c r="BE67">
        <v>-19.46</v>
      </c>
      <c r="BF67">
        <v>-14.05</v>
      </c>
      <c r="BG67">
        <v>-32.479999999999997</v>
      </c>
      <c r="BH67">
        <v>-14.08</v>
      </c>
      <c r="BI67">
        <v>99.98</v>
      </c>
      <c r="BJ67">
        <v>-13.45</v>
      </c>
      <c r="BK67">
        <v>83.49</v>
      </c>
      <c r="BL67">
        <v>-12.69</v>
      </c>
      <c r="BM67">
        <v>29.89</v>
      </c>
      <c r="BN67">
        <v>14.69</v>
      </c>
      <c r="BO67">
        <v>42.85</v>
      </c>
    </row>
    <row r="68" spans="1:67">
      <c r="A68" s="17">
        <v>46069</v>
      </c>
      <c r="B68" s="15">
        <v>39.54</v>
      </c>
      <c r="C68" s="15">
        <v>-53.04</v>
      </c>
      <c r="D68" s="15">
        <v>32.83</v>
      </c>
      <c r="E68" s="15">
        <v>42.52</v>
      </c>
      <c r="F68" s="15">
        <v>13.38</v>
      </c>
      <c r="G68" s="15">
        <v>9.42</v>
      </c>
      <c r="H68" s="15">
        <v>1.64</v>
      </c>
      <c r="I68" s="15">
        <v>10.46</v>
      </c>
      <c r="J68" s="15">
        <v>48.73</v>
      </c>
      <c r="K68" s="15">
        <v>-11.96</v>
      </c>
      <c r="L68" s="15">
        <v>66.44</v>
      </c>
      <c r="M68" s="15">
        <v>-27.52</v>
      </c>
      <c r="N68" s="15">
        <v>69.19</v>
      </c>
      <c r="O68" s="15">
        <v>0.76</v>
      </c>
      <c r="P68" s="15">
        <v>-8.51</v>
      </c>
      <c r="Q68">
        <v>1.01</v>
      </c>
      <c r="R68">
        <v>32.409999999999997</v>
      </c>
      <c r="S68">
        <v>62.04</v>
      </c>
      <c r="T68">
        <v>64.45</v>
      </c>
      <c r="U68">
        <v>62.94</v>
      </c>
      <c r="V68">
        <v>-6.61</v>
      </c>
      <c r="W68">
        <v>11.15</v>
      </c>
      <c r="X68">
        <v>138.21</v>
      </c>
      <c r="Y68">
        <v>12.53</v>
      </c>
      <c r="Z68">
        <v>5.08</v>
      </c>
      <c r="AA68">
        <v>-5.07</v>
      </c>
      <c r="AB68">
        <v>1.79</v>
      </c>
      <c r="AC68">
        <v>-20.29</v>
      </c>
      <c r="AD68">
        <v>-46.12</v>
      </c>
      <c r="AE68">
        <v>-21.8</v>
      </c>
      <c r="AF68">
        <v>-4.1399999999999997</v>
      </c>
      <c r="AG68">
        <v>-26.98</v>
      </c>
      <c r="AH68">
        <v>62.32</v>
      </c>
      <c r="AI68">
        <v>76.77</v>
      </c>
      <c r="AJ68">
        <v>9.25</v>
      </c>
      <c r="AK68">
        <v>-24.58</v>
      </c>
      <c r="AL68">
        <v>-17.25</v>
      </c>
      <c r="AM68">
        <v>-1.1000000000000001</v>
      </c>
      <c r="AN68">
        <v>12.66</v>
      </c>
      <c r="AO68">
        <v>-9.18</v>
      </c>
      <c r="AP68">
        <v>-48.01</v>
      </c>
      <c r="AQ68">
        <v>74.38</v>
      </c>
      <c r="AR68">
        <v>17.86</v>
      </c>
      <c r="AS68">
        <v>44.98</v>
      </c>
      <c r="AT68">
        <v>104.4</v>
      </c>
      <c r="AU68">
        <v>-7.14</v>
      </c>
      <c r="AV68">
        <v>-30.12</v>
      </c>
      <c r="AW68">
        <v>-4.97</v>
      </c>
      <c r="AX68">
        <v>64.459999999999994</v>
      </c>
      <c r="AY68">
        <v>2.41</v>
      </c>
      <c r="AZ68">
        <v>1.25</v>
      </c>
      <c r="BA68">
        <v>59.72</v>
      </c>
      <c r="BB68">
        <v>50.07</v>
      </c>
      <c r="BC68">
        <v>-6.77</v>
      </c>
      <c r="BD68">
        <v>-7.24</v>
      </c>
      <c r="BE68">
        <v>-19.579999999999998</v>
      </c>
      <c r="BF68">
        <v>-13.82</v>
      </c>
      <c r="BG68">
        <v>-32.46</v>
      </c>
      <c r="BH68">
        <v>-14.16</v>
      </c>
      <c r="BI68">
        <v>100.02</v>
      </c>
      <c r="BJ68">
        <v>-13.4</v>
      </c>
      <c r="BK68">
        <v>83.49</v>
      </c>
      <c r="BL68">
        <v>-12.69</v>
      </c>
      <c r="BM68">
        <v>29.83</v>
      </c>
      <c r="BN68">
        <v>14.69</v>
      </c>
      <c r="BO68">
        <v>42.97</v>
      </c>
    </row>
    <row r="69" spans="1:67">
      <c r="A69" s="18">
        <v>46070</v>
      </c>
      <c r="B69" s="15">
        <v>39.78</v>
      </c>
      <c r="C69" s="15">
        <v>-54.45</v>
      </c>
      <c r="D69" s="15">
        <v>32.729999999999997</v>
      </c>
      <c r="E69" s="15">
        <v>41.75</v>
      </c>
      <c r="F69" s="15">
        <v>12.92</v>
      </c>
      <c r="G69" s="15">
        <v>9.11</v>
      </c>
      <c r="H69" s="15">
        <v>1.71</v>
      </c>
      <c r="I69" s="15">
        <v>10.199999999999999</v>
      </c>
      <c r="J69" s="15">
        <v>47.87</v>
      </c>
      <c r="K69" s="15">
        <v>-11.88</v>
      </c>
      <c r="L69" s="15">
        <v>65.5</v>
      </c>
      <c r="M69" s="15">
        <v>-26.82</v>
      </c>
      <c r="N69" s="15">
        <v>68.150000000000006</v>
      </c>
      <c r="O69" s="15">
        <v>0.67</v>
      </c>
      <c r="P69" s="15">
        <v>-8.42</v>
      </c>
      <c r="Q69">
        <v>1.22</v>
      </c>
      <c r="R69">
        <v>32.06</v>
      </c>
      <c r="S69">
        <v>61.67</v>
      </c>
      <c r="T69">
        <v>63.6</v>
      </c>
      <c r="U69">
        <v>62.85</v>
      </c>
      <c r="V69">
        <v>-6.47</v>
      </c>
      <c r="W69">
        <v>10.84</v>
      </c>
      <c r="X69">
        <v>135.93</v>
      </c>
      <c r="Y69">
        <v>12.04</v>
      </c>
      <c r="Z69">
        <v>5.14</v>
      </c>
      <c r="AA69">
        <v>-4.96</v>
      </c>
      <c r="AB69">
        <v>1.73</v>
      </c>
      <c r="AC69">
        <v>-20.239999999999998</v>
      </c>
      <c r="AD69">
        <v>-45.26</v>
      </c>
      <c r="AE69">
        <v>-21.44</v>
      </c>
      <c r="AF69">
        <v>-4.3600000000000003</v>
      </c>
      <c r="AG69">
        <v>-26.54</v>
      </c>
      <c r="AH69">
        <v>62.58</v>
      </c>
      <c r="AI69">
        <v>75.599999999999994</v>
      </c>
      <c r="AJ69">
        <v>9.48</v>
      </c>
      <c r="AK69">
        <v>-24.39</v>
      </c>
      <c r="AL69">
        <v>-17.079999999999998</v>
      </c>
      <c r="AM69">
        <v>-2.21</v>
      </c>
      <c r="AN69">
        <v>12.68</v>
      </c>
      <c r="AO69">
        <v>-9.2100000000000009</v>
      </c>
      <c r="AP69">
        <v>-48.16</v>
      </c>
      <c r="AQ69">
        <v>73.09</v>
      </c>
      <c r="AR69">
        <v>17.8</v>
      </c>
      <c r="AS69">
        <v>44.95</v>
      </c>
      <c r="AT69">
        <v>102.78</v>
      </c>
      <c r="AU69">
        <v>-7.17</v>
      </c>
      <c r="AV69">
        <v>-29.96</v>
      </c>
      <c r="AW69">
        <v>-4.96</v>
      </c>
      <c r="AX69">
        <v>63.04</v>
      </c>
      <c r="AY69">
        <v>2.42</v>
      </c>
      <c r="AZ69">
        <v>1.3</v>
      </c>
      <c r="BA69">
        <v>58.75</v>
      </c>
      <c r="BB69">
        <v>50.44</v>
      </c>
      <c r="BC69">
        <v>-6.76</v>
      </c>
      <c r="BD69">
        <v>-7.07</v>
      </c>
      <c r="BE69">
        <v>-19.170000000000002</v>
      </c>
      <c r="BF69">
        <v>-13.52</v>
      </c>
      <c r="BG69">
        <v>-31.98</v>
      </c>
      <c r="BH69">
        <v>-13.88</v>
      </c>
      <c r="BI69">
        <v>98.02</v>
      </c>
      <c r="BJ69">
        <v>-13.58</v>
      </c>
      <c r="BK69">
        <v>82</v>
      </c>
      <c r="BL69">
        <v>-12.9</v>
      </c>
      <c r="BM69">
        <v>29.9</v>
      </c>
      <c r="BN69">
        <v>14.69</v>
      </c>
      <c r="BO69">
        <v>42.46</v>
      </c>
    </row>
    <row r="70" spans="1:67">
      <c r="A70" s="17">
        <v>46071</v>
      </c>
      <c r="B70" s="15">
        <v>39.96</v>
      </c>
      <c r="C70" s="15">
        <v>-51.4</v>
      </c>
      <c r="D70" s="15">
        <v>33.340000000000003</v>
      </c>
      <c r="E70" s="15">
        <v>42.44</v>
      </c>
      <c r="F70" s="15">
        <v>13.55</v>
      </c>
      <c r="G70" s="15">
        <v>9.51</v>
      </c>
      <c r="H70" s="15">
        <v>1.91</v>
      </c>
      <c r="I70" s="15">
        <v>10.9</v>
      </c>
      <c r="J70" s="15">
        <v>48.56</v>
      </c>
      <c r="K70" s="15">
        <v>-11.99</v>
      </c>
      <c r="L70" s="15">
        <v>66.569999999999993</v>
      </c>
      <c r="M70" s="15">
        <v>-27.7</v>
      </c>
      <c r="N70" s="15">
        <v>69.3</v>
      </c>
      <c r="O70" s="15">
        <v>0.59</v>
      </c>
      <c r="P70" s="15">
        <v>-8.58</v>
      </c>
      <c r="Q70">
        <v>0.93</v>
      </c>
      <c r="R70">
        <v>32.03</v>
      </c>
      <c r="S70">
        <v>62.94</v>
      </c>
      <c r="T70">
        <v>64.52</v>
      </c>
      <c r="U70">
        <v>63.01</v>
      </c>
      <c r="V70">
        <v>-6.73</v>
      </c>
      <c r="W70">
        <v>11.06</v>
      </c>
      <c r="X70">
        <v>136.22</v>
      </c>
      <c r="Y70">
        <v>11.98</v>
      </c>
      <c r="Z70">
        <v>5.1100000000000003</v>
      </c>
      <c r="AA70">
        <v>-5.15</v>
      </c>
      <c r="AB70">
        <v>1.59</v>
      </c>
      <c r="AC70">
        <v>-20.100000000000001</v>
      </c>
      <c r="AD70">
        <v>-46.43</v>
      </c>
      <c r="AE70">
        <v>-22.1</v>
      </c>
      <c r="AF70">
        <v>-4.58</v>
      </c>
      <c r="AG70">
        <v>-27.29</v>
      </c>
      <c r="AH70">
        <v>63.27</v>
      </c>
      <c r="AI70">
        <v>78.13</v>
      </c>
      <c r="AJ70">
        <v>9.1</v>
      </c>
      <c r="AK70">
        <v>-24.92</v>
      </c>
      <c r="AL70">
        <v>-17.27</v>
      </c>
      <c r="AM70">
        <v>-2.09</v>
      </c>
      <c r="AN70">
        <v>12.83</v>
      </c>
      <c r="AO70">
        <v>-9.33</v>
      </c>
      <c r="AP70">
        <v>-48.73</v>
      </c>
      <c r="AQ70">
        <v>75.56</v>
      </c>
      <c r="AR70">
        <v>17.93</v>
      </c>
      <c r="AS70">
        <v>45.09</v>
      </c>
      <c r="AT70">
        <v>103.95</v>
      </c>
      <c r="AU70">
        <v>-7.3</v>
      </c>
      <c r="AV70">
        <v>-30.55</v>
      </c>
      <c r="AW70">
        <v>-5.08</v>
      </c>
      <c r="AX70">
        <v>65.77</v>
      </c>
      <c r="AY70">
        <v>2.35</v>
      </c>
      <c r="AZ70">
        <v>1.23</v>
      </c>
      <c r="BA70">
        <v>60.97</v>
      </c>
      <c r="BB70">
        <v>50.13</v>
      </c>
      <c r="BC70">
        <v>-6.94</v>
      </c>
      <c r="BD70">
        <v>-7.35</v>
      </c>
      <c r="BE70">
        <v>-19.850000000000001</v>
      </c>
      <c r="BF70">
        <v>-13.97</v>
      </c>
      <c r="BG70">
        <v>-32.31</v>
      </c>
      <c r="BH70">
        <v>-14.32</v>
      </c>
      <c r="BI70">
        <v>99.08</v>
      </c>
      <c r="BJ70">
        <v>-13.56</v>
      </c>
      <c r="BK70">
        <v>82.35</v>
      </c>
      <c r="BL70">
        <v>-12.83</v>
      </c>
      <c r="BM70">
        <v>29.6</v>
      </c>
      <c r="BN70">
        <v>14.49</v>
      </c>
      <c r="BO70">
        <v>43.01</v>
      </c>
    </row>
    <row r="71" spans="1:67">
      <c r="A71" s="18">
        <v>46072</v>
      </c>
      <c r="B71" s="15">
        <v>40.6</v>
      </c>
      <c r="C71" s="15">
        <v>-49.49</v>
      </c>
      <c r="D71" s="15">
        <v>33.700000000000003</v>
      </c>
      <c r="E71" s="15">
        <v>42.98</v>
      </c>
      <c r="F71" s="15">
        <v>13.21</v>
      </c>
      <c r="G71" s="15">
        <v>9.75</v>
      </c>
      <c r="H71" s="15">
        <v>2.06</v>
      </c>
      <c r="I71" s="15">
        <v>11.24</v>
      </c>
      <c r="J71" s="15">
        <v>48.42</v>
      </c>
      <c r="K71" s="15">
        <v>-12</v>
      </c>
      <c r="L71" s="15">
        <v>65.95</v>
      </c>
      <c r="M71" s="15">
        <v>-28.01</v>
      </c>
      <c r="N71" s="15">
        <v>69.58</v>
      </c>
      <c r="O71" s="15">
        <v>0.49</v>
      </c>
      <c r="P71" s="15">
        <v>-8.6999999999999993</v>
      </c>
      <c r="Q71">
        <v>0.56999999999999995</v>
      </c>
      <c r="R71">
        <v>31.61</v>
      </c>
      <c r="S71">
        <v>64.930000000000007</v>
      </c>
      <c r="T71">
        <v>64.52</v>
      </c>
      <c r="U71">
        <v>62.87</v>
      </c>
      <c r="V71">
        <v>-6.96</v>
      </c>
      <c r="W71">
        <v>10.9</v>
      </c>
      <c r="X71">
        <v>135.08000000000001</v>
      </c>
      <c r="Y71">
        <v>11.86</v>
      </c>
      <c r="Z71">
        <v>5.0999999999999996</v>
      </c>
      <c r="AA71">
        <v>-5.3</v>
      </c>
      <c r="AB71">
        <v>1.38</v>
      </c>
      <c r="AC71">
        <v>-20.079999999999998</v>
      </c>
      <c r="AD71">
        <v>-46.86</v>
      </c>
      <c r="AE71">
        <v>-22.62</v>
      </c>
      <c r="AF71">
        <v>-4.8499999999999996</v>
      </c>
      <c r="AG71">
        <v>-27.84</v>
      </c>
      <c r="AH71">
        <v>64.5</v>
      </c>
      <c r="AI71">
        <v>79.319999999999993</v>
      </c>
      <c r="AJ71">
        <v>8.94</v>
      </c>
      <c r="AK71">
        <v>-25.24</v>
      </c>
      <c r="AL71">
        <v>-17.600000000000001</v>
      </c>
      <c r="AM71">
        <v>-1.45</v>
      </c>
      <c r="AN71">
        <v>12.84</v>
      </c>
      <c r="AO71">
        <v>-9.25</v>
      </c>
      <c r="AP71">
        <v>-48.02</v>
      </c>
      <c r="AQ71">
        <v>78.19</v>
      </c>
      <c r="AR71">
        <v>18.04</v>
      </c>
      <c r="AS71">
        <v>46.01</v>
      </c>
      <c r="AT71">
        <v>103.35</v>
      </c>
      <c r="AU71">
        <v>-7.52</v>
      </c>
      <c r="AV71">
        <v>-31.21</v>
      </c>
      <c r="AW71">
        <v>-5.17</v>
      </c>
      <c r="AX71">
        <v>69.78</v>
      </c>
      <c r="AY71">
        <v>2.36</v>
      </c>
      <c r="AZ71">
        <v>0.97</v>
      </c>
      <c r="BA71">
        <v>62.13</v>
      </c>
      <c r="BB71">
        <v>50.41</v>
      </c>
      <c r="BC71">
        <v>-7.1</v>
      </c>
      <c r="BD71">
        <v>-7.52</v>
      </c>
      <c r="BE71">
        <v>-20.25</v>
      </c>
      <c r="BF71">
        <v>-14.34</v>
      </c>
      <c r="BG71">
        <v>-32.299999999999997</v>
      </c>
      <c r="BH71">
        <v>-14.61</v>
      </c>
      <c r="BI71">
        <v>98.69</v>
      </c>
      <c r="BJ71">
        <v>-13.48</v>
      </c>
      <c r="BK71">
        <v>82.09</v>
      </c>
      <c r="BL71">
        <v>-12.77</v>
      </c>
      <c r="BM71">
        <v>29.48</v>
      </c>
      <c r="BN71">
        <v>14.4</v>
      </c>
      <c r="BO71">
        <v>42.53</v>
      </c>
    </row>
    <row r="72" spans="1:67">
      <c r="A72" s="17">
        <v>46073</v>
      </c>
      <c r="B72" s="15">
        <v>41.11</v>
      </c>
      <c r="C72" s="15">
        <v>-50.13</v>
      </c>
      <c r="D72" s="15">
        <v>33.82</v>
      </c>
      <c r="E72" s="15">
        <v>42.46</v>
      </c>
      <c r="F72" s="15">
        <v>13.03</v>
      </c>
      <c r="G72" s="15">
        <v>9.6199999999999992</v>
      </c>
      <c r="H72" s="15">
        <v>2.15</v>
      </c>
      <c r="I72" s="15">
        <v>11.42</v>
      </c>
      <c r="J72" s="15">
        <v>50.92</v>
      </c>
      <c r="K72" s="15">
        <v>-12.05</v>
      </c>
      <c r="L72" s="15">
        <v>66.67</v>
      </c>
      <c r="M72" s="15">
        <v>-28.11</v>
      </c>
      <c r="N72" s="15">
        <v>69.61</v>
      </c>
      <c r="O72" s="15">
        <v>0.5</v>
      </c>
      <c r="P72" s="15">
        <v>-8.65</v>
      </c>
      <c r="Q72">
        <v>0.79</v>
      </c>
      <c r="R72">
        <v>31.9</v>
      </c>
      <c r="S72">
        <v>65.11</v>
      </c>
      <c r="T72">
        <v>64.760000000000005</v>
      </c>
      <c r="U72">
        <v>62.89</v>
      </c>
      <c r="V72">
        <v>-6.86</v>
      </c>
      <c r="W72">
        <v>11.23</v>
      </c>
      <c r="X72">
        <v>136.94</v>
      </c>
      <c r="Y72">
        <v>11.85</v>
      </c>
      <c r="Z72">
        <v>5.12</v>
      </c>
      <c r="AA72">
        <v>-5.22</v>
      </c>
      <c r="AB72">
        <v>1.26</v>
      </c>
      <c r="AC72">
        <v>-20.43</v>
      </c>
      <c r="AD72">
        <v>-47</v>
      </c>
      <c r="AE72">
        <v>-22.34</v>
      </c>
      <c r="AF72">
        <v>-4.9000000000000004</v>
      </c>
      <c r="AG72">
        <v>-27.58</v>
      </c>
      <c r="AH72">
        <v>66.52</v>
      </c>
      <c r="AI72">
        <v>79.44</v>
      </c>
      <c r="AJ72">
        <v>8.7899999999999991</v>
      </c>
      <c r="AK72">
        <v>-25.31</v>
      </c>
      <c r="AL72">
        <v>-17.579999999999998</v>
      </c>
      <c r="AM72">
        <v>-2.0499999999999998</v>
      </c>
      <c r="AN72">
        <v>12.87</v>
      </c>
      <c r="AO72">
        <v>-9.4</v>
      </c>
      <c r="AP72">
        <v>-45.26</v>
      </c>
      <c r="AQ72">
        <v>76.92</v>
      </c>
      <c r="AR72">
        <v>18.329999999999998</v>
      </c>
      <c r="AS72">
        <v>47.02</v>
      </c>
      <c r="AT72">
        <v>104.27</v>
      </c>
      <c r="AU72">
        <v>-7.44</v>
      </c>
      <c r="AV72">
        <v>-31.3</v>
      </c>
      <c r="AW72">
        <v>-5.0999999999999996</v>
      </c>
      <c r="AX72">
        <v>68.13</v>
      </c>
      <c r="AY72">
        <v>2.4</v>
      </c>
      <c r="AZ72">
        <v>1.19</v>
      </c>
      <c r="BA72">
        <v>62.32</v>
      </c>
      <c r="BB72">
        <v>51.48</v>
      </c>
      <c r="BC72">
        <v>-7.03</v>
      </c>
      <c r="BD72">
        <v>-7.49</v>
      </c>
      <c r="BE72">
        <v>-20.190000000000001</v>
      </c>
      <c r="BF72">
        <v>-14.23</v>
      </c>
      <c r="BG72">
        <v>-32.56</v>
      </c>
      <c r="BH72">
        <v>-14.49</v>
      </c>
      <c r="BI72">
        <v>99.76</v>
      </c>
      <c r="BJ72">
        <v>-13.16</v>
      </c>
      <c r="BK72">
        <v>82.53</v>
      </c>
      <c r="BL72">
        <v>-12.7</v>
      </c>
      <c r="BM72">
        <v>29.76</v>
      </c>
      <c r="BN72">
        <v>14.37</v>
      </c>
      <c r="BO72">
        <v>43.19</v>
      </c>
    </row>
    <row r="73" spans="1:67">
      <c r="A73" s="18">
        <v>46076</v>
      </c>
      <c r="B73" s="15">
        <v>40.909999999999997</v>
      </c>
      <c r="C73" s="15">
        <v>-50.28</v>
      </c>
      <c r="D73" s="15">
        <v>34.1</v>
      </c>
      <c r="E73" s="15">
        <v>42.71</v>
      </c>
      <c r="F73" s="15">
        <v>12.66</v>
      </c>
      <c r="G73" s="15">
        <v>9.57</v>
      </c>
      <c r="H73" s="15">
        <v>2.0699999999999998</v>
      </c>
      <c r="I73" s="15">
        <v>11.45</v>
      </c>
      <c r="J73" s="15">
        <v>50.86</v>
      </c>
      <c r="K73" s="15">
        <v>-12.15</v>
      </c>
      <c r="L73" s="15">
        <v>66.48</v>
      </c>
      <c r="M73" s="15">
        <v>-28.32</v>
      </c>
      <c r="N73" s="15">
        <v>69.790000000000006</v>
      </c>
      <c r="O73" s="15">
        <v>0.44</v>
      </c>
      <c r="P73" s="15">
        <v>-8.67</v>
      </c>
      <c r="Q73">
        <v>0.81</v>
      </c>
      <c r="R73">
        <v>32.5</v>
      </c>
      <c r="S73">
        <v>65.489999999999995</v>
      </c>
      <c r="T73">
        <v>64.930000000000007</v>
      </c>
      <c r="U73">
        <v>63.24</v>
      </c>
      <c r="V73">
        <v>-6.83</v>
      </c>
      <c r="W73">
        <v>11.61</v>
      </c>
      <c r="X73">
        <v>138.78</v>
      </c>
      <c r="Y73">
        <v>11.64</v>
      </c>
      <c r="Z73">
        <v>5.05</v>
      </c>
      <c r="AA73">
        <v>-5.22</v>
      </c>
      <c r="AB73">
        <v>1.1599999999999999</v>
      </c>
      <c r="AC73">
        <v>-20.43</v>
      </c>
      <c r="AD73">
        <v>-47.5</v>
      </c>
      <c r="AE73">
        <v>-22.2</v>
      </c>
      <c r="AF73">
        <v>-5</v>
      </c>
      <c r="AG73">
        <v>-27.53</v>
      </c>
      <c r="AH73">
        <v>66.75</v>
      </c>
      <c r="AI73">
        <v>79.41</v>
      </c>
      <c r="AJ73">
        <v>8.56</v>
      </c>
      <c r="AK73">
        <v>-25.31</v>
      </c>
      <c r="AL73">
        <v>-17.48</v>
      </c>
      <c r="AM73">
        <v>-1.89</v>
      </c>
      <c r="AN73">
        <v>12.98</v>
      </c>
      <c r="AO73">
        <v>-9.4</v>
      </c>
      <c r="AP73">
        <v>-44.9</v>
      </c>
      <c r="AQ73">
        <v>76.930000000000007</v>
      </c>
      <c r="AR73">
        <v>18.559999999999999</v>
      </c>
      <c r="AS73">
        <v>47.12</v>
      </c>
      <c r="AT73">
        <v>104.6</v>
      </c>
      <c r="AU73">
        <v>-7.3</v>
      </c>
      <c r="AV73">
        <v>-31.53</v>
      </c>
      <c r="AW73">
        <v>-5.0599999999999996</v>
      </c>
      <c r="AX73">
        <v>68.260000000000005</v>
      </c>
      <c r="AY73">
        <v>2.4</v>
      </c>
      <c r="AZ73">
        <v>1.1100000000000001</v>
      </c>
      <c r="BA73">
        <v>62.59</v>
      </c>
      <c r="BB73">
        <v>51.46</v>
      </c>
      <c r="BC73">
        <v>-6.96</v>
      </c>
      <c r="BD73">
        <v>-7.51</v>
      </c>
      <c r="BE73">
        <v>-20.260000000000002</v>
      </c>
      <c r="BF73">
        <v>-14.17</v>
      </c>
      <c r="BG73">
        <v>-32.97</v>
      </c>
      <c r="BH73">
        <v>-14.48</v>
      </c>
      <c r="BI73">
        <v>101.47</v>
      </c>
      <c r="BJ73">
        <v>-13.17</v>
      </c>
      <c r="BK73">
        <v>82.71</v>
      </c>
      <c r="BL73">
        <v>-12.73</v>
      </c>
      <c r="BM73">
        <v>29.27</v>
      </c>
      <c r="BN73">
        <v>14.34</v>
      </c>
      <c r="BO73">
        <v>43.49</v>
      </c>
    </row>
    <row r="74" spans="1:67">
      <c r="A74" s="17">
        <v>46077</v>
      </c>
      <c r="B74" s="15">
        <v>40.700000000000003</v>
      </c>
      <c r="C74" s="15">
        <v>-50.51</v>
      </c>
      <c r="D74" s="15">
        <v>34.15</v>
      </c>
      <c r="E74" s="15">
        <v>42.54</v>
      </c>
      <c r="F74" s="15">
        <v>12.87</v>
      </c>
      <c r="G74" s="15">
        <v>9.89</v>
      </c>
      <c r="H74" s="15">
        <v>1.97</v>
      </c>
      <c r="I74" s="15">
        <v>11.23</v>
      </c>
      <c r="J74" s="15">
        <v>51.55</v>
      </c>
      <c r="K74" s="15">
        <v>-12.1</v>
      </c>
      <c r="L74" s="15">
        <v>68.05</v>
      </c>
      <c r="M74" s="15">
        <v>-28.38</v>
      </c>
      <c r="N74" s="15">
        <v>69.8</v>
      </c>
      <c r="O74" s="15">
        <v>0.71</v>
      </c>
      <c r="P74" s="15">
        <v>-8.66</v>
      </c>
      <c r="Q74">
        <v>0.98</v>
      </c>
      <c r="R74">
        <v>32.51</v>
      </c>
      <c r="S74">
        <v>64.42</v>
      </c>
      <c r="T74">
        <v>65.180000000000007</v>
      </c>
      <c r="U74">
        <v>63.13</v>
      </c>
      <c r="V74">
        <v>-6.78</v>
      </c>
      <c r="W74">
        <v>11.56</v>
      </c>
      <c r="X74">
        <v>138.25</v>
      </c>
      <c r="Y74">
        <v>12.3</v>
      </c>
      <c r="Z74">
        <v>5.1100000000000003</v>
      </c>
      <c r="AA74">
        <v>-5.18</v>
      </c>
      <c r="AB74">
        <v>1.46</v>
      </c>
      <c r="AC74">
        <v>-20.420000000000002</v>
      </c>
      <c r="AD74">
        <v>-47.35</v>
      </c>
      <c r="AE74">
        <v>-22.15</v>
      </c>
      <c r="AF74">
        <v>-4.79</v>
      </c>
      <c r="AG74">
        <v>-27.47</v>
      </c>
      <c r="AH74">
        <v>66.11</v>
      </c>
      <c r="AI74">
        <v>79.53</v>
      </c>
      <c r="AJ74">
        <v>8.7200000000000006</v>
      </c>
      <c r="AK74">
        <v>-25.23</v>
      </c>
      <c r="AL74">
        <v>-17.36</v>
      </c>
      <c r="AM74">
        <v>-2.27</v>
      </c>
      <c r="AN74">
        <v>13.03</v>
      </c>
      <c r="AO74">
        <v>-9.39</v>
      </c>
      <c r="AP74">
        <v>-45.46</v>
      </c>
      <c r="AQ74">
        <v>76.08</v>
      </c>
      <c r="AR74">
        <v>18.53</v>
      </c>
      <c r="AS74">
        <v>46.64</v>
      </c>
      <c r="AT74">
        <v>105.33</v>
      </c>
      <c r="AU74">
        <v>-7.19</v>
      </c>
      <c r="AV74">
        <v>-31.4</v>
      </c>
      <c r="AW74">
        <v>-5.03</v>
      </c>
      <c r="AX74">
        <v>66.540000000000006</v>
      </c>
      <c r="AY74">
        <v>2.33</v>
      </c>
      <c r="AZ74">
        <v>1.32</v>
      </c>
      <c r="BA74">
        <v>62.23</v>
      </c>
      <c r="BB74">
        <v>51.29</v>
      </c>
      <c r="BC74">
        <v>-6.96</v>
      </c>
      <c r="BD74">
        <v>-7.48</v>
      </c>
      <c r="BE74">
        <v>-20.149999999999999</v>
      </c>
      <c r="BF74">
        <v>-14.12</v>
      </c>
      <c r="BG74">
        <v>-32.83</v>
      </c>
      <c r="BH74">
        <v>-14.42</v>
      </c>
      <c r="BI74">
        <v>101.01</v>
      </c>
      <c r="BJ74">
        <v>-13.1</v>
      </c>
      <c r="BK74">
        <v>82.91</v>
      </c>
      <c r="BL74">
        <v>-12.87</v>
      </c>
      <c r="BM74">
        <v>29.2</v>
      </c>
      <c r="BN74">
        <v>14.35</v>
      </c>
      <c r="BO74">
        <v>43.92</v>
      </c>
    </row>
    <row r="75" spans="1:67">
      <c r="A75" s="18">
        <v>46078</v>
      </c>
      <c r="B75" s="15">
        <v>40.729999999999997</v>
      </c>
      <c r="C75" s="15">
        <v>-50.7</v>
      </c>
      <c r="D75" s="15">
        <v>34.1</v>
      </c>
      <c r="E75" s="15">
        <v>43.12</v>
      </c>
      <c r="F75" s="15">
        <v>14.01</v>
      </c>
      <c r="G75" s="15">
        <v>10.17</v>
      </c>
      <c r="H75" s="15">
        <v>2.06</v>
      </c>
      <c r="I75" s="15">
        <v>11.32</v>
      </c>
      <c r="J75" s="15">
        <v>52.06</v>
      </c>
      <c r="K75" s="15">
        <v>-12.15</v>
      </c>
      <c r="L75" s="15">
        <v>68.930000000000007</v>
      </c>
      <c r="M75" s="15">
        <v>-28.71</v>
      </c>
      <c r="N75" s="15">
        <v>69.8</v>
      </c>
      <c r="O75" s="15">
        <v>0.7</v>
      </c>
      <c r="P75" s="15">
        <v>-8.7200000000000006</v>
      </c>
      <c r="Q75">
        <v>0.96</v>
      </c>
      <c r="R75">
        <v>32.549999999999997</v>
      </c>
      <c r="S75">
        <v>64.67</v>
      </c>
      <c r="T75">
        <v>65.3</v>
      </c>
      <c r="U75">
        <v>63.24</v>
      </c>
      <c r="V75">
        <v>-6.8</v>
      </c>
      <c r="W75">
        <v>11.69</v>
      </c>
      <c r="X75">
        <v>138.68</v>
      </c>
      <c r="Y75">
        <v>12.25</v>
      </c>
      <c r="Z75">
        <v>5.14</v>
      </c>
      <c r="AA75">
        <v>-5.24</v>
      </c>
      <c r="AB75">
        <v>1.51</v>
      </c>
      <c r="AC75">
        <v>-20.41</v>
      </c>
      <c r="AD75">
        <v>-47.5</v>
      </c>
      <c r="AE75">
        <v>-22.24</v>
      </c>
      <c r="AF75">
        <v>-4.8600000000000003</v>
      </c>
      <c r="AG75">
        <v>-27.6</v>
      </c>
      <c r="AH75">
        <v>66.260000000000005</v>
      </c>
      <c r="AI75">
        <v>79.77</v>
      </c>
      <c r="AJ75">
        <v>8.6300000000000008</v>
      </c>
      <c r="AK75">
        <v>-25.32</v>
      </c>
      <c r="AL75">
        <v>-17.38</v>
      </c>
      <c r="AM75">
        <v>-2.06</v>
      </c>
      <c r="AN75">
        <v>12.99</v>
      </c>
      <c r="AO75">
        <v>-9.4</v>
      </c>
      <c r="AP75">
        <v>-45.47</v>
      </c>
      <c r="AQ75">
        <v>76.150000000000006</v>
      </c>
      <c r="AR75">
        <v>18.309999999999999</v>
      </c>
      <c r="AS75">
        <v>46.7</v>
      </c>
      <c r="AT75">
        <v>106.15</v>
      </c>
      <c r="AU75">
        <v>-7.16</v>
      </c>
      <c r="AV75">
        <v>-31.41</v>
      </c>
      <c r="AW75">
        <v>-4.9800000000000004</v>
      </c>
      <c r="AX75">
        <v>67.22</v>
      </c>
      <c r="AY75">
        <v>2.3199999999999998</v>
      </c>
      <c r="AZ75">
        <v>1.36</v>
      </c>
      <c r="BA75">
        <v>62.6</v>
      </c>
      <c r="BB75">
        <v>51.17</v>
      </c>
      <c r="BC75">
        <v>-6.9</v>
      </c>
      <c r="BD75">
        <v>-7.49</v>
      </c>
      <c r="BE75">
        <v>-20.23</v>
      </c>
      <c r="BF75">
        <v>-14.28</v>
      </c>
      <c r="BG75">
        <v>-33.01</v>
      </c>
      <c r="BH75">
        <v>-14.47</v>
      </c>
      <c r="BI75">
        <v>101.58</v>
      </c>
      <c r="BJ75">
        <v>-13.06</v>
      </c>
      <c r="BK75">
        <v>83.05</v>
      </c>
      <c r="BL75">
        <v>-12.8</v>
      </c>
      <c r="BM75">
        <v>29.5</v>
      </c>
      <c r="BN75">
        <v>14.28</v>
      </c>
      <c r="BO75">
        <v>44.81</v>
      </c>
    </row>
    <row r="76" spans="1:67">
      <c r="A76" s="17">
        <v>46079</v>
      </c>
      <c r="B76" s="15">
        <v>40.85</v>
      </c>
      <c r="C76" s="15">
        <v>-50.63</v>
      </c>
      <c r="D76" s="15">
        <v>33.94</v>
      </c>
      <c r="E76" s="15">
        <v>43.39</v>
      </c>
      <c r="F76" s="15">
        <v>14.02</v>
      </c>
      <c r="G76" s="15">
        <v>10.050000000000001</v>
      </c>
      <c r="H76" s="15">
        <v>2.0099999999999998</v>
      </c>
      <c r="I76" s="15">
        <v>11.36</v>
      </c>
      <c r="J76" s="15">
        <v>51.83</v>
      </c>
      <c r="K76" s="15">
        <v>-12.13</v>
      </c>
      <c r="L76" s="15">
        <v>68.92</v>
      </c>
      <c r="M76" s="15">
        <v>-28.66</v>
      </c>
      <c r="N76" s="15">
        <v>69.599999999999994</v>
      </c>
      <c r="O76" s="15">
        <v>0.57999999999999996</v>
      </c>
      <c r="P76" s="15">
        <v>-8.75</v>
      </c>
      <c r="Q76">
        <v>0.81</v>
      </c>
      <c r="R76">
        <v>32.340000000000003</v>
      </c>
      <c r="S76">
        <v>65.209999999999994</v>
      </c>
      <c r="T76">
        <v>65.180000000000007</v>
      </c>
      <c r="U76">
        <v>63.24</v>
      </c>
      <c r="V76">
        <v>-6.87</v>
      </c>
      <c r="W76">
        <v>11.52</v>
      </c>
      <c r="X76">
        <v>138.08000000000001</v>
      </c>
      <c r="Y76">
        <v>12.04</v>
      </c>
      <c r="Z76">
        <v>5.0999999999999996</v>
      </c>
      <c r="AA76">
        <v>-5.3</v>
      </c>
      <c r="AB76">
        <v>1.62</v>
      </c>
      <c r="AC76">
        <v>-20.309999999999999</v>
      </c>
      <c r="AD76">
        <v>-47.41</v>
      </c>
      <c r="AE76">
        <v>-22.34</v>
      </c>
      <c r="AF76">
        <v>-5</v>
      </c>
      <c r="AG76">
        <v>-27.76</v>
      </c>
      <c r="AH76">
        <v>66.180000000000007</v>
      </c>
      <c r="AI76">
        <v>79.63</v>
      </c>
      <c r="AJ76">
        <v>8.6999999999999993</v>
      </c>
      <c r="AK76">
        <v>-25.4</v>
      </c>
      <c r="AL76">
        <v>-17.53</v>
      </c>
      <c r="AM76">
        <v>-1.7</v>
      </c>
      <c r="AN76">
        <v>12.84</v>
      </c>
      <c r="AO76">
        <v>-9.3800000000000008</v>
      </c>
      <c r="AP76">
        <v>-45.69</v>
      </c>
      <c r="AQ76">
        <v>77.08</v>
      </c>
      <c r="AR76">
        <v>18.32</v>
      </c>
      <c r="AS76">
        <v>46.82</v>
      </c>
      <c r="AT76">
        <v>105.9</v>
      </c>
      <c r="AU76">
        <v>-7.25</v>
      </c>
      <c r="AV76">
        <v>-31.51</v>
      </c>
      <c r="AW76">
        <v>-5.01</v>
      </c>
      <c r="AX76">
        <v>68.989999999999995</v>
      </c>
      <c r="AY76">
        <v>2.34</v>
      </c>
      <c r="AZ76">
        <v>1.31</v>
      </c>
      <c r="BA76">
        <v>62.53</v>
      </c>
      <c r="BB76">
        <v>51.04</v>
      </c>
      <c r="BC76">
        <v>-6.92</v>
      </c>
      <c r="BD76">
        <v>-7.5</v>
      </c>
      <c r="BE76">
        <v>-20.25</v>
      </c>
      <c r="BF76">
        <v>-14.46</v>
      </c>
      <c r="BG76">
        <v>-32.92</v>
      </c>
      <c r="BH76">
        <v>-14.53</v>
      </c>
      <c r="BI76">
        <v>101.06</v>
      </c>
      <c r="BJ76">
        <v>-13.07</v>
      </c>
      <c r="BK76">
        <v>82.75</v>
      </c>
      <c r="BL76">
        <v>-12.72</v>
      </c>
      <c r="BM76">
        <v>29</v>
      </c>
      <c r="BN76">
        <v>14.27</v>
      </c>
      <c r="BO76">
        <v>44.12</v>
      </c>
    </row>
    <row r="77" spans="1:67">
      <c r="A77" s="18">
        <v>46080</v>
      </c>
      <c r="B77" s="15">
        <v>40.93</v>
      </c>
      <c r="C77" s="15">
        <v>-48.83</v>
      </c>
      <c r="D77" s="15">
        <v>34.24</v>
      </c>
      <c r="E77" s="15">
        <v>43.39</v>
      </c>
      <c r="F77" s="15">
        <v>13.65</v>
      </c>
      <c r="G77" s="15">
        <v>10.24</v>
      </c>
      <c r="H77" s="15">
        <v>2.04</v>
      </c>
      <c r="I77" s="15">
        <v>11.41</v>
      </c>
      <c r="J77" s="15">
        <v>52.15</v>
      </c>
      <c r="K77" s="15">
        <v>-12.18</v>
      </c>
      <c r="L77" s="15">
        <v>69.290000000000006</v>
      </c>
      <c r="M77" s="15">
        <v>-29.13</v>
      </c>
      <c r="N77" s="15">
        <v>70.02</v>
      </c>
      <c r="O77" s="15">
        <v>0.49</v>
      </c>
      <c r="P77" s="15">
        <v>-8.7799999999999994</v>
      </c>
      <c r="Q77">
        <v>0.8</v>
      </c>
      <c r="R77">
        <v>32.17</v>
      </c>
      <c r="S77">
        <v>65.3</v>
      </c>
      <c r="T77">
        <v>65.61</v>
      </c>
      <c r="U77">
        <v>63.18</v>
      </c>
      <c r="V77">
        <v>-6.95</v>
      </c>
      <c r="W77">
        <v>11.7</v>
      </c>
      <c r="X77">
        <v>138.12</v>
      </c>
      <c r="Y77">
        <v>11.84</v>
      </c>
      <c r="Z77">
        <v>5.15</v>
      </c>
      <c r="AA77">
        <v>-5.32</v>
      </c>
      <c r="AB77">
        <v>1.3</v>
      </c>
      <c r="AC77">
        <v>-20.27</v>
      </c>
      <c r="AD77">
        <v>-48.02</v>
      </c>
      <c r="AE77">
        <v>-22.66</v>
      </c>
      <c r="AF77">
        <v>-5.24</v>
      </c>
      <c r="AG77">
        <v>-28.15</v>
      </c>
      <c r="AH77">
        <v>66.8</v>
      </c>
      <c r="AI77">
        <v>81.239999999999995</v>
      </c>
      <c r="AJ77">
        <v>8.5</v>
      </c>
      <c r="AK77">
        <v>-25.63</v>
      </c>
      <c r="AL77">
        <v>-17.510000000000002</v>
      </c>
      <c r="AM77">
        <v>-1.61</v>
      </c>
      <c r="AN77">
        <v>12.98</v>
      </c>
      <c r="AO77">
        <v>-9.49</v>
      </c>
      <c r="AP77">
        <v>-45.8</v>
      </c>
      <c r="AQ77">
        <v>77.569999999999993</v>
      </c>
      <c r="AR77">
        <v>18.329999999999998</v>
      </c>
      <c r="AS77">
        <v>46.82</v>
      </c>
      <c r="AT77">
        <v>106.15</v>
      </c>
      <c r="AU77">
        <v>-7.36</v>
      </c>
      <c r="AV77">
        <v>-31.42</v>
      </c>
      <c r="AW77">
        <v>-5.0599999999999996</v>
      </c>
      <c r="AX77">
        <v>68.66</v>
      </c>
      <c r="AY77">
        <v>2.36</v>
      </c>
      <c r="AZ77">
        <v>1.25</v>
      </c>
      <c r="BA77">
        <v>63.66</v>
      </c>
      <c r="BB77">
        <v>51.11</v>
      </c>
      <c r="BC77">
        <v>-7</v>
      </c>
      <c r="BD77">
        <v>-7.66</v>
      </c>
      <c r="BE77">
        <v>-20.55</v>
      </c>
      <c r="BF77">
        <v>-14.54</v>
      </c>
      <c r="BG77">
        <v>-33.04</v>
      </c>
      <c r="BH77">
        <v>-14.71</v>
      </c>
      <c r="BI77">
        <v>101.6</v>
      </c>
      <c r="BJ77">
        <v>-12.67</v>
      </c>
      <c r="BK77">
        <v>82.73</v>
      </c>
      <c r="BL77">
        <v>-12.65</v>
      </c>
      <c r="BM77">
        <v>28.82</v>
      </c>
      <c r="BN77">
        <v>14.24</v>
      </c>
      <c r="BO77">
        <v>44.61</v>
      </c>
    </row>
    <row r="78" spans="1:67">
      <c r="A78" s="17">
        <v>46083</v>
      </c>
      <c r="B78" s="15">
        <v>42.8</v>
      </c>
      <c r="C78" s="15">
        <v>-43.93</v>
      </c>
      <c r="D78" s="15">
        <v>34.619999999999997</v>
      </c>
      <c r="E78" s="15">
        <v>48.54</v>
      </c>
      <c r="F78" s="15">
        <v>14.2</v>
      </c>
      <c r="G78" s="15">
        <v>10.48</v>
      </c>
      <c r="H78" s="15">
        <v>2.48</v>
      </c>
      <c r="I78" s="15">
        <v>13.12</v>
      </c>
      <c r="J78" s="15">
        <v>51.76</v>
      </c>
      <c r="K78" s="15">
        <v>-12.35</v>
      </c>
      <c r="L78" s="15">
        <v>68.16</v>
      </c>
      <c r="M78" s="15">
        <v>-30.62</v>
      </c>
      <c r="N78" s="15">
        <v>72.03</v>
      </c>
      <c r="O78" s="15">
        <v>0.34</v>
      </c>
      <c r="P78" s="15">
        <v>-9.3800000000000008</v>
      </c>
      <c r="Q78">
        <v>-1.1000000000000001</v>
      </c>
      <c r="R78">
        <v>31.84</v>
      </c>
      <c r="S78">
        <v>74.06</v>
      </c>
      <c r="T78">
        <v>66.7</v>
      </c>
      <c r="U78">
        <v>63.7</v>
      </c>
      <c r="V78">
        <v>-7.92</v>
      </c>
      <c r="W78">
        <v>11.2</v>
      </c>
      <c r="X78">
        <v>137.94</v>
      </c>
      <c r="Y78">
        <v>11.79</v>
      </c>
      <c r="Z78">
        <v>4.92</v>
      </c>
      <c r="AA78">
        <v>-6.18</v>
      </c>
      <c r="AB78">
        <v>2.2400000000000002</v>
      </c>
      <c r="AC78">
        <v>-20.11</v>
      </c>
      <c r="AD78">
        <v>-49.92</v>
      </c>
      <c r="AE78">
        <v>-25.6</v>
      </c>
      <c r="AF78">
        <v>-5.86</v>
      </c>
      <c r="AG78">
        <v>-30.93</v>
      </c>
      <c r="AH78">
        <v>69.36</v>
      </c>
      <c r="AI78">
        <v>83.67</v>
      </c>
      <c r="AJ78">
        <v>8.02</v>
      </c>
      <c r="AK78">
        <v>-26.71</v>
      </c>
      <c r="AL78">
        <v>-18.68</v>
      </c>
      <c r="AM78">
        <v>4.79</v>
      </c>
      <c r="AN78">
        <v>12.94</v>
      </c>
      <c r="AO78">
        <v>-8.68</v>
      </c>
      <c r="AP78">
        <v>-42.64</v>
      </c>
      <c r="AQ78">
        <v>88.69</v>
      </c>
      <c r="AR78">
        <v>18.739999999999998</v>
      </c>
      <c r="AS78">
        <v>50.25</v>
      </c>
      <c r="AT78">
        <v>105.52</v>
      </c>
      <c r="AU78">
        <v>-8.08</v>
      </c>
      <c r="AV78">
        <v>-34.07</v>
      </c>
      <c r="AW78">
        <v>-5.51</v>
      </c>
      <c r="AX78">
        <v>86.78</v>
      </c>
      <c r="AY78">
        <v>2.2799999999999998</v>
      </c>
      <c r="AZ78">
        <v>-0.12</v>
      </c>
      <c r="BA78">
        <v>67.400000000000006</v>
      </c>
      <c r="BB78">
        <v>51.24</v>
      </c>
      <c r="BC78">
        <v>-7.28</v>
      </c>
      <c r="BD78">
        <v>-8.27</v>
      </c>
      <c r="BE78">
        <v>-21.96</v>
      </c>
      <c r="BF78">
        <v>-16.22</v>
      </c>
      <c r="BG78">
        <v>-33.4</v>
      </c>
      <c r="BH78">
        <v>-16.22</v>
      </c>
      <c r="BI78">
        <v>102.05</v>
      </c>
      <c r="BJ78">
        <v>-13.55</v>
      </c>
      <c r="BK78">
        <v>83.03</v>
      </c>
      <c r="BL78">
        <v>-12.42</v>
      </c>
      <c r="BM78">
        <v>28.89</v>
      </c>
      <c r="BN78">
        <v>13.98</v>
      </c>
      <c r="BO78">
        <v>44.33</v>
      </c>
    </row>
    <row r="79" spans="1:67">
      <c r="A79" s="18">
        <v>46084</v>
      </c>
      <c r="B79" s="15">
        <v>47.25</v>
      </c>
      <c r="C79" s="15">
        <v>-40.700000000000003</v>
      </c>
      <c r="D79" s="15">
        <v>34.43</v>
      </c>
      <c r="E79" s="15">
        <v>52.23</v>
      </c>
      <c r="F79" s="15">
        <v>13.83</v>
      </c>
      <c r="G79" s="15">
        <v>10.53</v>
      </c>
      <c r="H79" s="15">
        <v>2.66</v>
      </c>
      <c r="I79" s="15">
        <v>13.77</v>
      </c>
      <c r="J79" s="15">
        <v>56.8</v>
      </c>
      <c r="K79" s="15">
        <v>-12.33</v>
      </c>
      <c r="L79" s="15">
        <v>66.739999999999995</v>
      </c>
      <c r="M79" s="15">
        <v>-31.32</v>
      </c>
      <c r="N79" s="15">
        <v>72.540000000000006</v>
      </c>
      <c r="O79" s="15">
        <v>0.06</v>
      </c>
      <c r="P79" s="15">
        <v>-9.82</v>
      </c>
      <c r="Q79">
        <v>-2.5299999999999998</v>
      </c>
      <c r="R79">
        <v>30.59</v>
      </c>
      <c r="S79">
        <v>84.13</v>
      </c>
      <c r="T79">
        <v>66.83</v>
      </c>
      <c r="U79">
        <v>64.05</v>
      </c>
      <c r="V79">
        <v>-8.67</v>
      </c>
      <c r="W79">
        <v>10.17</v>
      </c>
      <c r="X79">
        <v>135.44</v>
      </c>
      <c r="Y79">
        <v>11.52</v>
      </c>
      <c r="Z79">
        <v>4.88</v>
      </c>
      <c r="AA79">
        <v>-6.82</v>
      </c>
      <c r="AB79">
        <v>2.98</v>
      </c>
      <c r="AC79">
        <v>-20.69</v>
      </c>
      <c r="AD79">
        <v>-50.68</v>
      </c>
      <c r="AE79">
        <v>-28.03</v>
      </c>
      <c r="AF79">
        <v>-6.51</v>
      </c>
      <c r="AG79">
        <v>-33.020000000000003</v>
      </c>
      <c r="AH79">
        <v>77.83</v>
      </c>
      <c r="AI79">
        <v>85.27</v>
      </c>
      <c r="AJ79">
        <v>7.98</v>
      </c>
      <c r="AK79">
        <v>-27.52</v>
      </c>
      <c r="AL79">
        <v>-19.57</v>
      </c>
      <c r="AM79">
        <v>9.68</v>
      </c>
      <c r="AN79">
        <v>12.78</v>
      </c>
      <c r="AO79">
        <v>-7.83</v>
      </c>
      <c r="AP79">
        <v>-32.42</v>
      </c>
      <c r="AQ79">
        <v>96.72</v>
      </c>
      <c r="AR79">
        <v>18.899999999999999</v>
      </c>
      <c r="AS79">
        <v>56.89</v>
      </c>
      <c r="AT79">
        <v>103.93</v>
      </c>
      <c r="AU79">
        <v>-8.7899999999999991</v>
      </c>
      <c r="AV79">
        <v>-37.549999999999997</v>
      </c>
      <c r="AW79">
        <v>-5.78</v>
      </c>
      <c r="AX79">
        <v>100.84</v>
      </c>
      <c r="AY79">
        <v>2.27</v>
      </c>
      <c r="AZ79">
        <v>-1.21</v>
      </c>
      <c r="BA79">
        <v>69.52</v>
      </c>
      <c r="BB79">
        <v>55.16</v>
      </c>
      <c r="BC79">
        <v>-7.57</v>
      </c>
      <c r="BD79">
        <v>-8.6999999999999993</v>
      </c>
      <c r="BE79">
        <v>-23.18</v>
      </c>
      <c r="BF79">
        <v>-17.43</v>
      </c>
      <c r="BG79">
        <v>-32.97</v>
      </c>
      <c r="BH79">
        <v>-17.399999999999999</v>
      </c>
      <c r="BI79">
        <v>99.22</v>
      </c>
      <c r="BJ79">
        <v>-14.31</v>
      </c>
      <c r="BK79">
        <v>81.89</v>
      </c>
      <c r="BL79">
        <v>-12.29</v>
      </c>
      <c r="BM79">
        <v>28.34</v>
      </c>
      <c r="BN79">
        <v>13.7</v>
      </c>
      <c r="BO79">
        <v>42.03</v>
      </c>
    </row>
    <row r="80" spans="1:67">
      <c r="A80" s="17">
        <v>46085</v>
      </c>
      <c r="B80" s="15">
        <v>47.5</v>
      </c>
      <c r="C80" s="15">
        <v>-42.2</v>
      </c>
      <c r="D80" s="15">
        <v>34.64</v>
      </c>
      <c r="E80" s="15">
        <v>50.45</v>
      </c>
      <c r="F80" s="15">
        <v>14.52</v>
      </c>
      <c r="G80" s="15">
        <v>10.68</v>
      </c>
      <c r="H80" s="15">
        <v>2.93</v>
      </c>
      <c r="I80" s="15">
        <v>13.62</v>
      </c>
      <c r="J80" s="15">
        <v>58.65</v>
      </c>
      <c r="K80" s="15">
        <v>-12.29</v>
      </c>
      <c r="L80" s="15">
        <v>67.11</v>
      </c>
      <c r="M80" s="15">
        <v>-31.03</v>
      </c>
      <c r="N80" s="15">
        <v>72.209999999999994</v>
      </c>
      <c r="O80" s="15">
        <v>0.2</v>
      </c>
      <c r="P80" s="15">
        <v>-9.59</v>
      </c>
      <c r="Q80">
        <v>-1.66</v>
      </c>
      <c r="R80">
        <v>30.66</v>
      </c>
      <c r="S80">
        <v>82.06</v>
      </c>
      <c r="T80">
        <v>67.28</v>
      </c>
      <c r="U80">
        <v>63.94</v>
      </c>
      <c r="V80">
        <v>-8.26</v>
      </c>
      <c r="W80">
        <v>10.54</v>
      </c>
      <c r="X80">
        <v>135.59</v>
      </c>
      <c r="Y80">
        <v>11.7</v>
      </c>
      <c r="Z80">
        <v>4.92</v>
      </c>
      <c r="AA80">
        <v>-6.48</v>
      </c>
      <c r="AB80">
        <v>2.23</v>
      </c>
      <c r="AC80">
        <v>-20.91</v>
      </c>
      <c r="AD80">
        <v>-50.05</v>
      </c>
      <c r="AE80">
        <v>-27.12</v>
      </c>
      <c r="AF80">
        <v>-6.36</v>
      </c>
      <c r="AG80">
        <v>-32.22</v>
      </c>
      <c r="AH80">
        <v>79.849999999999994</v>
      </c>
      <c r="AI80">
        <v>85.08</v>
      </c>
      <c r="AJ80">
        <v>7.9</v>
      </c>
      <c r="AK80">
        <v>-27.38</v>
      </c>
      <c r="AL80">
        <v>-19</v>
      </c>
      <c r="AM80">
        <v>6.83</v>
      </c>
      <c r="AN80">
        <v>12.76</v>
      </c>
      <c r="AO80">
        <v>-8.24</v>
      </c>
      <c r="AP80">
        <v>-31.77</v>
      </c>
      <c r="AQ80">
        <v>92.24</v>
      </c>
      <c r="AR80">
        <v>19.14</v>
      </c>
      <c r="AS80">
        <v>56.5</v>
      </c>
      <c r="AT80">
        <v>104.07</v>
      </c>
      <c r="AU80">
        <v>-8.6</v>
      </c>
      <c r="AV80">
        <v>-37</v>
      </c>
      <c r="AW80">
        <v>-5.72</v>
      </c>
      <c r="AX80">
        <v>93.86</v>
      </c>
      <c r="AY80">
        <v>2.27</v>
      </c>
      <c r="AZ80">
        <v>-0.78</v>
      </c>
      <c r="BA80">
        <v>68.819999999999993</v>
      </c>
      <c r="BB80">
        <v>56.25</v>
      </c>
      <c r="BC80">
        <v>-7.48</v>
      </c>
      <c r="BD80">
        <v>-8.5500000000000007</v>
      </c>
      <c r="BE80">
        <v>-22.83</v>
      </c>
      <c r="BF80">
        <v>-16.600000000000001</v>
      </c>
      <c r="BG80">
        <v>-32.909999999999997</v>
      </c>
      <c r="BH80">
        <v>-16.95</v>
      </c>
      <c r="BI80">
        <v>99.28</v>
      </c>
      <c r="BJ80">
        <v>-14.08</v>
      </c>
      <c r="BK80">
        <v>82.04</v>
      </c>
      <c r="BL80">
        <v>-12.42</v>
      </c>
      <c r="BM80">
        <v>29.01</v>
      </c>
      <c r="BN80">
        <v>13.76</v>
      </c>
      <c r="BO80">
        <v>41.73</v>
      </c>
    </row>
    <row r="81" spans="1:67">
      <c r="A81" s="18">
        <v>46086</v>
      </c>
      <c r="B81" s="15">
        <v>49.01</v>
      </c>
      <c r="C81" s="15">
        <v>-41.95</v>
      </c>
      <c r="D81" s="15">
        <v>35.01</v>
      </c>
      <c r="E81" s="15">
        <v>51.01</v>
      </c>
      <c r="F81" s="15">
        <v>13.67</v>
      </c>
      <c r="G81" s="15">
        <v>10.97</v>
      </c>
      <c r="H81" s="15">
        <v>3.41</v>
      </c>
      <c r="I81" s="15">
        <v>14.73</v>
      </c>
      <c r="J81" s="15">
        <v>59.26</v>
      </c>
      <c r="K81" s="15">
        <v>-12.29</v>
      </c>
      <c r="L81" s="15">
        <v>66.209999999999994</v>
      </c>
      <c r="M81" s="15">
        <v>-31.24</v>
      </c>
      <c r="N81" s="15">
        <v>72.12</v>
      </c>
      <c r="O81" s="15">
        <v>-0.18</v>
      </c>
      <c r="P81" s="15">
        <v>-9.67</v>
      </c>
      <c r="Q81">
        <v>-2.0499999999999998</v>
      </c>
      <c r="R81">
        <v>29.6</v>
      </c>
      <c r="S81">
        <v>84.96</v>
      </c>
      <c r="T81">
        <v>67.3</v>
      </c>
      <c r="U81">
        <v>63.49</v>
      </c>
      <c r="V81">
        <v>-8.44</v>
      </c>
      <c r="W81">
        <v>10.3</v>
      </c>
      <c r="X81">
        <v>133.19999999999999</v>
      </c>
      <c r="Y81">
        <v>11.3</v>
      </c>
      <c r="Z81">
        <v>4.9400000000000004</v>
      </c>
      <c r="AA81">
        <v>-6.6</v>
      </c>
      <c r="AB81">
        <v>1.87</v>
      </c>
      <c r="AC81">
        <v>-20.81</v>
      </c>
      <c r="AD81">
        <v>-49.94</v>
      </c>
      <c r="AE81">
        <v>-27.75</v>
      </c>
      <c r="AF81">
        <v>-7.01</v>
      </c>
      <c r="AG81">
        <v>-32.770000000000003</v>
      </c>
      <c r="AH81">
        <v>83.27</v>
      </c>
      <c r="AI81">
        <v>85.82</v>
      </c>
      <c r="AJ81">
        <v>7.45</v>
      </c>
      <c r="AK81">
        <v>-27.88</v>
      </c>
      <c r="AL81">
        <v>-19.399999999999999</v>
      </c>
      <c r="AM81">
        <v>6.94</v>
      </c>
      <c r="AN81">
        <v>12.73</v>
      </c>
      <c r="AO81">
        <v>-8.27</v>
      </c>
      <c r="AP81">
        <v>-30.9</v>
      </c>
      <c r="AQ81">
        <v>94.18</v>
      </c>
      <c r="AR81">
        <v>18.72</v>
      </c>
      <c r="AS81">
        <v>57.7</v>
      </c>
      <c r="AT81">
        <v>103.07</v>
      </c>
      <c r="AU81">
        <v>-9.0299999999999994</v>
      </c>
      <c r="AV81">
        <v>-37.659999999999997</v>
      </c>
      <c r="AW81">
        <v>-5.82</v>
      </c>
      <c r="AX81">
        <v>97.24</v>
      </c>
      <c r="AY81">
        <v>2.4300000000000002</v>
      </c>
      <c r="AZ81">
        <v>-0.99</v>
      </c>
      <c r="BA81">
        <v>70.239999999999995</v>
      </c>
      <c r="BB81">
        <v>57.16</v>
      </c>
      <c r="BC81">
        <v>-7.5</v>
      </c>
      <c r="BD81">
        <v>-8.6300000000000008</v>
      </c>
      <c r="BE81">
        <v>-23.1</v>
      </c>
      <c r="BF81">
        <v>-17.010000000000002</v>
      </c>
      <c r="BG81">
        <v>-32.74</v>
      </c>
      <c r="BH81">
        <v>-17.190000000000001</v>
      </c>
      <c r="BI81">
        <v>98.1</v>
      </c>
      <c r="BJ81">
        <v>-13.66</v>
      </c>
      <c r="BK81">
        <v>81.599999999999994</v>
      </c>
      <c r="BL81">
        <v>-12.2</v>
      </c>
      <c r="BM81">
        <v>29.22</v>
      </c>
      <c r="BN81">
        <v>13.71</v>
      </c>
      <c r="BO81">
        <v>40.71</v>
      </c>
    </row>
    <row r="82" spans="1:67">
      <c r="A82" s="17">
        <v>46087</v>
      </c>
      <c r="B82" s="15">
        <v>51.57</v>
      </c>
      <c r="C82" s="15">
        <v>-35.6</v>
      </c>
      <c r="D82" s="15">
        <v>35.36</v>
      </c>
      <c r="E82" s="15">
        <v>52.52</v>
      </c>
      <c r="F82" s="15">
        <v>14.67</v>
      </c>
      <c r="G82" s="15">
        <v>12.05</v>
      </c>
      <c r="H82" s="15">
        <v>3.44</v>
      </c>
      <c r="I82" s="15">
        <v>16.829999999999998</v>
      </c>
      <c r="J82" s="15">
        <v>63.48</v>
      </c>
      <c r="K82" s="15">
        <v>-12.41</v>
      </c>
      <c r="L82" s="15">
        <v>65.37</v>
      </c>
      <c r="M82" s="15">
        <v>-32.71</v>
      </c>
      <c r="N82" s="15">
        <v>74.11</v>
      </c>
      <c r="O82" s="15">
        <v>-0.34</v>
      </c>
      <c r="P82" s="15">
        <v>-10.039999999999999</v>
      </c>
      <c r="Q82">
        <v>-2.77</v>
      </c>
      <c r="R82">
        <v>29.3</v>
      </c>
      <c r="S82">
        <v>89.91</v>
      </c>
      <c r="T82">
        <v>69.3</v>
      </c>
      <c r="U82">
        <v>63.73</v>
      </c>
      <c r="V82">
        <v>-9.07</v>
      </c>
      <c r="W82">
        <v>10.31</v>
      </c>
      <c r="X82">
        <v>134.94</v>
      </c>
      <c r="Y82">
        <v>11.4</v>
      </c>
      <c r="Z82">
        <v>4.87</v>
      </c>
      <c r="AA82">
        <v>-7.02</v>
      </c>
      <c r="AB82">
        <v>1.58</v>
      </c>
      <c r="AC82">
        <v>-21.44</v>
      </c>
      <c r="AD82">
        <v>-51.83</v>
      </c>
      <c r="AE82">
        <v>-29.15</v>
      </c>
      <c r="AF82">
        <v>-7.54</v>
      </c>
      <c r="AG82">
        <v>-34.32</v>
      </c>
      <c r="AH82">
        <v>89.06</v>
      </c>
      <c r="AI82">
        <v>90.28</v>
      </c>
      <c r="AJ82">
        <v>7.15</v>
      </c>
      <c r="AK82">
        <v>-28.74</v>
      </c>
      <c r="AL82">
        <v>-19.95</v>
      </c>
      <c r="AM82">
        <v>7.62</v>
      </c>
      <c r="AN82">
        <v>12.9</v>
      </c>
      <c r="AO82">
        <v>-8.32</v>
      </c>
      <c r="AP82">
        <v>-24.11</v>
      </c>
      <c r="AQ82">
        <v>99.17</v>
      </c>
      <c r="AR82">
        <v>18.36</v>
      </c>
      <c r="AS82">
        <v>61.74</v>
      </c>
      <c r="AT82">
        <v>102.85</v>
      </c>
      <c r="AU82">
        <v>-9.4700000000000006</v>
      </c>
      <c r="AV82">
        <v>-39.340000000000003</v>
      </c>
      <c r="AW82">
        <v>-6.24</v>
      </c>
      <c r="AX82">
        <v>103.28</v>
      </c>
      <c r="AY82">
        <v>2.33</v>
      </c>
      <c r="AZ82">
        <v>-1.64</v>
      </c>
      <c r="BA82">
        <v>73.680000000000007</v>
      </c>
      <c r="BB82">
        <v>59.94</v>
      </c>
      <c r="BC82">
        <v>-7.94</v>
      </c>
      <c r="BD82">
        <v>-9.2200000000000006</v>
      </c>
      <c r="BE82">
        <v>-24.25</v>
      </c>
      <c r="BF82">
        <v>-17.670000000000002</v>
      </c>
      <c r="BG82">
        <v>-33.08</v>
      </c>
      <c r="BH82">
        <v>-18.09</v>
      </c>
      <c r="BI82">
        <v>98.73</v>
      </c>
      <c r="BJ82">
        <v>-13.22</v>
      </c>
      <c r="BK82">
        <v>82.02</v>
      </c>
      <c r="BL82">
        <v>-11.89</v>
      </c>
      <c r="BM82">
        <v>28.31</v>
      </c>
      <c r="BN82">
        <v>13.43</v>
      </c>
      <c r="BO82">
        <v>40.49</v>
      </c>
    </row>
    <row r="83" spans="1:67">
      <c r="A83" s="18">
        <v>46090</v>
      </c>
      <c r="B83" s="15">
        <v>53.98</v>
      </c>
      <c r="C83" s="15">
        <v>-30.48</v>
      </c>
      <c r="D83" s="15">
        <v>35.630000000000003</v>
      </c>
      <c r="E83" s="15">
        <v>54.08</v>
      </c>
      <c r="F83" s="15">
        <v>12.7</v>
      </c>
      <c r="G83" s="15">
        <v>12.68</v>
      </c>
      <c r="H83" s="15">
        <v>3.46</v>
      </c>
      <c r="I83" s="15">
        <v>17.46</v>
      </c>
      <c r="J83" s="15">
        <v>67.48</v>
      </c>
      <c r="K83" s="15">
        <v>-12.44</v>
      </c>
      <c r="L83" s="15">
        <v>65.37</v>
      </c>
      <c r="M83" s="15">
        <v>-33.799999999999997</v>
      </c>
      <c r="N83" s="15">
        <v>75.98</v>
      </c>
      <c r="O83" s="15">
        <v>-0.35</v>
      </c>
      <c r="P83" s="15">
        <v>-10.31</v>
      </c>
      <c r="Q83">
        <v>-3.38</v>
      </c>
      <c r="R83">
        <v>28.86</v>
      </c>
      <c r="S83">
        <v>94.52</v>
      </c>
      <c r="T83">
        <v>70.849999999999994</v>
      </c>
      <c r="U83">
        <v>63.94</v>
      </c>
      <c r="V83">
        <v>-9.61</v>
      </c>
      <c r="W83">
        <v>10.039999999999999</v>
      </c>
      <c r="X83">
        <v>134.61000000000001</v>
      </c>
      <c r="Y83">
        <v>11.8</v>
      </c>
      <c r="Z83">
        <v>4.8899999999999997</v>
      </c>
      <c r="AA83">
        <v>-7.37</v>
      </c>
      <c r="AB83">
        <v>2.21</v>
      </c>
      <c r="AC83">
        <v>-21.94</v>
      </c>
      <c r="AD83">
        <v>-53.28</v>
      </c>
      <c r="AE83">
        <v>-30.59</v>
      </c>
      <c r="AF83">
        <v>-7.83</v>
      </c>
      <c r="AG83">
        <v>-35.74</v>
      </c>
      <c r="AH83">
        <v>93.93</v>
      </c>
      <c r="AI83">
        <v>93.77</v>
      </c>
      <c r="AJ83">
        <v>7.07</v>
      </c>
      <c r="AK83">
        <v>-29.44</v>
      </c>
      <c r="AL83">
        <v>-20.309999999999999</v>
      </c>
      <c r="AM83">
        <v>8.5399999999999991</v>
      </c>
      <c r="AN83">
        <v>13.13</v>
      </c>
      <c r="AO83">
        <v>-8.17</v>
      </c>
      <c r="AP83">
        <v>-18.420000000000002</v>
      </c>
      <c r="AQ83">
        <v>103.14</v>
      </c>
      <c r="AR83">
        <v>18.190000000000001</v>
      </c>
      <c r="AS83">
        <v>65.040000000000006</v>
      </c>
      <c r="AT83">
        <v>102.52</v>
      </c>
      <c r="AU83">
        <v>-9.9600000000000009</v>
      </c>
      <c r="AV83">
        <v>-41.06</v>
      </c>
      <c r="AW83">
        <v>-6.59</v>
      </c>
      <c r="AX83">
        <v>108.25</v>
      </c>
      <c r="AY83">
        <v>2.06</v>
      </c>
      <c r="AZ83">
        <v>-2.2000000000000002</v>
      </c>
      <c r="BA83">
        <v>76.239999999999995</v>
      </c>
      <c r="BB83">
        <v>62.47</v>
      </c>
      <c r="BC83">
        <v>-8.34</v>
      </c>
      <c r="BD83">
        <v>-9.7200000000000006</v>
      </c>
      <c r="BE83">
        <v>-25.19</v>
      </c>
      <c r="BF83">
        <v>-18.079999999999998</v>
      </c>
      <c r="BG83">
        <v>-33.04</v>
      </c>
      <c r="BH83">
        <v>-18.940000000000001</v>
      </c>
      <c r="BI83">
        <v>98.03</v>
      </c>
      <c r="BJ83">
        <v>-13.64</v>
      </c>
      <c r="BK83">
        <v>81.84</v>
      </c>
      <c r="BL83">
        <v>-11.94</v>
      </c>
      <c r="BM83">
        <v>27.33</v>
      </c>
      <c r="BN83">
        <v>13.22</v>
      </c>
      <c r="BO83">
        <v>40.35</v>
      </c>
    </row>
    <row r="84" spans="1:67">
      <c r="A84" s="17">
        <v>46091</v>
      </c>
      <c r="B84" s="15">
        <v>57.06</v>
      </c>
      <c r="C84" s="15">
        <v>-37.380000000000003</v>
      </c>
      <c r="D84" s="15">
        <v>35.549999999999997</v>
      </c>
      <c r="E84" s="15">
        <v>51.39</v>
      </c>
      <c r="F84" s="15">
        <v>9.66</v>
      </c>
      <c r="G84" s="15">
        <v>12.37</v>
      </c>
      <c r="H84" s="15">
        <v>3.14</v>
      </c>
      <c r="I84" s="15">
        <v>15.57</v>
      </c>
      <c r="J84" s="15">
        <v>78.959999999999994</v>
      </c>
      <c r="K84" s="15">
        <v>-12.4</v>
      </c>
      <c r="L84" s="15">
        <v>67.260000000000005</v>
      </c>
      <c r="M84" s="15">
        <v>-32.51</v>
      </c>
      <c r="N84" s="15">
        <v>73.900000000000006</v>
      </c>
      <c r="O84" s="15">
        <v>0.05</v>
      </c>
      <c r="P84" s="15">
        <v>-9.8000000000000007</v>
      </c>
      <c r="Q84">
        <v>-1.85</v>
      </c>
      <c r="R84">
        <v>30.5</v>
      </c>
      <c r="S84">
        <v>96.06</v>
      </c>
      <c r="T84">
        <v>69.42</v>
      </c>
      <c r="U84">
        <v>64.959999999999994</v>
      </c>
      <c r="V84">
        <v>-8.6300000000000008</v>
      </c>
      <c r="W84">
        <v>10.83</v>
      </c>
      <c r="X84">
        <v>141.72999999999999</v>
      </c>
      <c r="Y84">
        <v>12.18</v>
      </c>
      <c r="Z84">
        <v>4.91</v>
      </c>
      <c r="AA84">
        <v>-6.68</v>
      </c>
      <c r="AB84">
        <v>2.0099999999999998</v>
      </c>
      <c r="AC84">
        <v>-24.16</v>
      </c>
      <c r="AD84">
        <v>-51.62</v>
      </c>
      <c r="AE84">
        <v>-28.02</v>
      </c>
      <c r="AF84">
        <v>-6.93</v>
      </c>
      <c r="AG84">
        <v>-33.33</v>
      </c>
      <c r="AH84">
        <v>102.78</v>
      </c>
      <c r="AI84">
        <v>89.13</v>
      </c>
      <c r="AJ84">
        <v>7.4</v>
      </c>
      <c r="AK84">
        <v>-28.23</v>
      </c>
      <c r="AL84">
        <v>-19.28</v>
      </c>
      <c r="AM84">
        <v>6.18</v>
      </c>
      <c r="AN84">
        <v>13.03</v>
      </c>
      <c r="AO84">
        <v>-8.34</v>
      </c>
      <c r="AP84">
        <v>-3.8</v>
      </c>
      <c r="AQ84">
        <v>94.54</v>
      </c>
      <c r="AR84">
        <v>18.5</v>
      </c>
      <c r="AS84">
        <v>70.95</v>
      </c>
      <c r="AT84">
        <v>104.43</v>
      </c>
      <c r="AU84">
        <v>-9.0399999999999991</v>
      </c>
      <c r="AV84">
        <v>-41.41</v>
      </c>
      <c r="AW84">
        <v>-6.06</v>
      </c>
      <c r="AX84">
        <v>100.54</v>
      </c>
      <c r="AY84">
        <v>2.15</v>
      </c>
      <c r="AZ84">
        <v>-1.17</v>
      </c>
      <c r="BA84">
        <v>71.83</v>
      </c>
      <c r="BB84">
        <v>69.489999999999995</v>
      </c>
      <c r="BC84">
        <v>-7.72</v>
      </c>
      <c r="BD84">
        <v>-9.02</v>
      </c>
      <c r="BE84">
        <v>-23.69</v>
      </c>
      <c r="BF84">
        <v>-16.25</v>
      </c>
      <c r="BG84">
        <v>-33.340000000000003</v>
      </c>
      <c r="BH84">
        <v>-17.559999999999999</v>
      </c>
      <c r="BI84">
        <v>100.54</v>
      </c>
      <c r="BJ84">
        <v>-13.14</v>
      </c>
      <c r="BK84">
        <v>82.92</v>
      </c>
      <c r="BL84">
        <v>-12.18</v>
      </c>
      <c r="BM84">
        <v>28.57</v>
      </c>
      <c r="BN84">
        <v>13.56</v>
      </c>
      <c r="BO84">
        <v>40.53</v>
      </c>
    </row>
    <row r="85" spans="1:67">
      <c r="A85" s="18">
        <v>46092</v>
      </c>
      <c r="B85" s="15">
        <v>54.54</v>
      </c>
      <c r="C85" s="15">
        <v>-34.33</v>
      </c>
      <c r="D85" s="15">
        <v>35.64</v>
      </c>
      <c r="E85" s="15">
        <v>52.19</v>
      </c>
      <c r="F85" s="15">
        <v>12.59</v>
      </c>
      <c r="G85" s="15">
        <v>12.65</v>
      </c>
      <c r="H85" s="15">
        <v>3.48</v>
      </c>
      <c r="I85" s="15">
        <v>16.489999999999998</v>
      </c>
      <c r="J85" s="15">
        <v>71.31</v>
      </c>
      <c r="K85" s="15">
        <v>-12.44</v>
      </c>
      <c r="L85" s="15">
        <v>66.22</v>
      </c>
      <c r="M85" s="15">
        <v>-33.159999999999997</v>
      </c>
      <c r="N85" s="15">
        <v>74.44</v>
      </c>
      <c r="O85" s="15">
        <v>-0.41</v>
      </c>
      <c r="P85" s="15">
        <v>-9.99</v>
      </c>
      <c r="Q85">
        <v>-2.36</v>
      </c>
      <c r="R85">
        <v>29.36</v>
      </c>
      <c r="S85">
        <v>93.12</v>
      </c>
      <c r="T85">
        <v>70.209999999999994</v>
      </c>
      <c r="U85">
        <v>64.28</v>
      </c>
      <c r="V85">
        <v>-9</v>
      </c>
      <c r="W85">
        <v>10.58</v>
      </c>
      <c r="X85">
        <v>137.41999999999999</v>
      </c>
      <c r="Y85">
        <v>11.38</v>
      </c>
      <c r="Z85">
        <v>4.88</v>
      </c>
      <c r="AA85">
        <v>-6.93</v>
      </c>
      <c r="AB85">
        <v>1.68</v>
      </c>
      <c r="AC85">
        <v>-22.58</v>
      </c>
      <c r="AD85">
        <v>-52.24</v>
      </c>
      <c r="AE85">
        <v>-29.03</v>
      </c>
      <c r="AF85">
        <v>-7.64</v>
      </c>
      <c r="AG85">
        <v>-34.340000000000003</v>
      </c>
      <c r="AH85">
        <v>96.7</v>
      </c>
      <c r="AI85">
        <v>91.48</v>
      </c>
      <c r="AJ85">
        <v>7.11</v>
      </c>
      <c r="AK85">
        <v>-28.92</v>
      </c>
      <c r="AL85">
        <v>-19.600000000000001</v>
      </c>
      <c r="AM85">
        <v>6.21</v>
      </c>
      <c r="AN85">
        <v>12.85</v>
      </c>
      <c r="AO85">
        <v>-8.5</v>
      </c>
      <c r="AP85">
        <v>-14.51</v>
      </c>
      <c r="AQ85">
        <v>97.84</v>
      </c>
      <c r="AR85">
        <v>17.89</v>
      </c>
      <c r="AS85">
        <v>66.05</v>
      </c>
      <c r="AT85">
        <v>103.42</v>
      </c>
      <c r="AU85">
        <v>-9.49</v>
      </c>
      <c r="AV85">
        <v>-40.53</v>
      </c>
      <c r="AW85">
        <v>-6.34</v>
      </c>
      <c r="AX85">
        <v>101.81</v>
      </c>
      <c r="AY85">
        <v>2.14</v>
      </c>
      <c r="AZ85">
        <v>-1.56</v>
      </c>
      <c r="BA85">
        <v>74.03</v>
      </c>
      <c r="BB85">
        <v>64.650000000000006</v>
      </c>
      <c r="BC85">
        <v>-7.98</v>
      </c>
      <c r="BD85">
        <v>-9.32</v>
      </c>
      <c r="BE85">
        <v>-24.34</v>
      </c>
      <c r="BF85">
        <v>-17.05</v>
      </c>
      <c r="BG85">
        <v>-33.18</v>
      </c>
      <c r="BH85">
        <v>-18.12</v>
      </c>
      <c r="BI85">
        <v>99.24</v>
      </c>
      <c r="BJ85">
        <v>-13.07</v>
      </c>
      <c r="BK85">
        <v>81.96</v>
      </c>
      <c r="BL85">
        <v>-11.86</v>
      </c>
      <c r="BM85">
        <v>27.93</v>
      </c>
      <c r="BN85">
        <v>13.33</v>
      </c>
      <c r="BO85">
        <v>40.31</v>
      </c>
    </row>
    <row r="86" spans="1:67">
      <c r="A86" s="17">
        <v>46093</v>
      </c>
      <c r="B86" s="15">
        <v>56.06</v>
      </c>
      <c r="C86" s="15">
        <v>-29.51</v>
      </c>
      <c r="D86" s="15">
        <v>36.130000000000003</v>
      </c>
      <c r="E86" s="15">
        <v>53</v>
      </c>
      <c r="F86" s="15">
        <v>13</v>
      </c>
      <c r="G86" s="15">
        <v>13.61</v>
      </c>
      <c r="H86" s="15">
        <v>3.99</v>
      </c>
      <c r="I86" s="15">
        <v>18.16</v>
      </c>
      <c r="J86" s="15">
        <v>72.489999999999995</v>
      </c>
      <c r="K86" s="15">
        <v>-12.46</v>
      </c>
      <c r="L86" s="15">
        <v>65.239999999999995</v>
      </c>
      <c r="M86" s="15">
        <v>-34.25</v>
      </c>
      <c r="N86" s="15">
        <v>76.099999999999994</v>
      </c>
      <c r="O86" s="15">
        <v>-0.69</v>
      </c>
      <c r="P86" s="15">
        <v>-10.19</v>
      </c>
      <c r="Q86">
        <v>-2.68</v>
      </c>
      <c r="R86">
        <v>28.25</v>
      </c>
      <c r="S86">
        <v>95.37</v>
      </c>
      <c r="T86">
        <v>71.73</v>
      </c>
      <c r="U86">
        <v>63.92</v>
      </c>
      <c r="V86">
        <v>-9.41</v>
      </c>
      <c r="W86">
        <v>10.42</v>
      </c>
      <c r="X86">
        <v>135.16</v>
      </c>
      <c r="Y86">
        <v>11.31</v>
      </c>
      <c r="Z86">
        <v>4.8899999999999997</v>
      </c>
      <c r="AA86">
        <v>-7.17</v>
      </c>
      <c r="AB86">
        <v>1.44</v>
      </c>
      <c r="AC86">
        <v>-22.56</v>
      </c>
      <c r="AD86">
        <v>-53.42</v>
      </c>
      <c r="AE86">
        <v>-30.3</v>
      </c>
      <c r="AF86">
        <v>-8.23</v>
      </c>
      <c r="AG86">
        <v>-35.64</v>
      </c>
      <c r="AH86">
        <v>99.94</v>
      </c>
      <c r="AI86">
        <v>95.42</v>
      </c>
      <c r="AJ86">
        <v>6.71</v>
      </c>
      <c r="AK86">
        <v>-29.82</v>
      </c>
      <c r="AL86">
        <v>-19.850000000000001</v>
      </c>
      <c r="AM86">
        <v>5.47</v>
      </c>
      <c r="AN86">
        <v>13.01</v>
      </c>
      <c r="AO86">
        <v>-8.6999999999999993</v>
      </c>
      <c r="AP86">
        <v>-13.62</v>
      </c>
      <c r="AQ86">
        <v>100.62</v>
      </c>
      <c r="AR86">
        <v>17.649999999999999</v>
      </c>
      <c r="AS86">
        <v>67.06</v>
      </c>
      <c r="AT86">
        <v>102.5</v>
      </c>
      <c r="AU86">
        <v>-10.08</v>
      </c>
      <c r="AV86">
        <v>-41.47</v>
      </c>
      <c r="AW86">
        <v>-6.71</v>
      </c>
      <c r="AX86">
        <v>103.85</v>
      </c>
      <c r="AY86">
        <v>1.98</v>
      </c>
      <c r="AZ86">
        <v>-2.04</v>
      </c>
      <c r="BA86">
        <v>77.010000000000005</v>
      </c>
      <c r="BB86">
        <v>65.680000000000007</v>
      </c>
      <c r="BC86">
        <v>-8.3800000000000008</v>
      </c>
      <c r="BD86">
        <v>-9.8000000000000007</v>
      </c>
      <c r="BE86">
        <v>-25.28</v>
      </c>
      <c r="BF86">
        <v>-17.3</v>
      </c>
      <c r="BG86">
        <v>-33.08</v>
      </c>
      <c r="BH86">
        <v>-18.88</v>
      </c>
      <c r="BI86">
        <v>98.18</v>
      </c>
      <c r="BJ86">
        <v>-12.97</v>
      </c>
      <c r="BK86">
        <v>81.599999999999994</v>
      </c>
      <c r="BL86">
        <v>-11.72</v>
      </c>
      <c r="BM86">
        <v>27.73</v>
      </c>
      <c r="BN86">
        <v>13.08</v>
      </c>
      <c r="BO86">
        <v>39.36</v>
      </c>
    </row>
    <row r="87" spans="1:67">
      <c r="A87" s="18">
        <v>46094</v>
      </c>
      <c r="B87" s="15">
        <v>60.42</v>
      </c>
      <c r="C87" s="15">
        <v>-28.52</v>
      </c>
      <c r="D87" s="15">
        <v>36.340000000000003</v>
      </c>
      <c r="E87" s="15">
        <v>52.74</v>
      </c>
      <c r="F87" s="15">
        <v>9.5299999999999994</v>
      </c>
      <c r="G87" s="15">
        <v>13.71</v>
      </c>
      <c r="H87" s="15">
        <v>4.21</v>
      </c>
      <c r="I87" s="15">
        <v>18.48</v>
      </c>
      <c r="J87" s="15">
        <v>80.42</v>
      </c>
      <c r="K87" s="15">
        <v>-12.42</v>
      </c>
      <c r="L87" s="15">
        <v>64.150000000000006</v>
      </c>
      <c r="M87" s="15">
        <v>-34.29</v>
      </c>
      <c r="N87" s="15">
        <v>76</v>
      </c>
      <c r="O87" s="15">
        <v>-0.94</v>
      </c>
      <c r="P87" s="15">
        <v>-10.130000000000001</v>
      </c>
      <c r="Q87">
        <v>-2.58</v>
      </c>
      <c r="R87">
        <v>27.8</v>
      </c>
      <c r="S87">
        <v>100.85</v>
      </c>
      <c r="T87">
        <v>72.08</v>
      </c>
      <c r="U87">
        <v>64.17</v>
      </c>
      <c r="V87">
        <v>-9.42</v>
      </c>
      <c r="W87">
        <v>10.3</v>
      </c>
      <c r="X87">
        <v>135.83000000000001</v>
      </c>
      <c r="Y87">
        <v>10.9</v>
      </c>
      <c r="Z87">
        <v>4.88</v>
      </c>
      <c r="AA87">
        <v>-7.1</v>
      </c>
      <c r="AB87">
        <v>1</v>
      </c>
      <c r="AC87">
        <v>-23.93</v>
      </c>
      <c r="AD87">
        <v>-53.47</v>
      </c>
      <c r="AE87">
        <v>-30.56</v>
      </c>
      <c r="AF87">
        <v>-8.65</v>
      </c>
      <c r="AG87">
        <v>-35.93</v>
      </c>
      <c r="AH87">
        <v>109.42</v>
      </c>
      <c r="AI87">
        <v>96.33</v>
      </c>
      <c r="AJ87">
        <v>6.56</v>
      </c>
      <c r="AK87">
        <v>-30.09</v>
      </c>
      <c r="AL87">
        <v>-19.82</v>
      </c>
      <c r="AM87">
        <v>4.97</v>
      </c>
      <c r="AN87">
        <v>13.05</v>
      </c>
      <c r="AO87">
        <v>-8.75</v>
      </c>
      <c r="AP87">
        <v>-2.87</v>
      </c>
      <c r="AQ87">
        <v>100.44</v>
      </c>
      <c r="AR87">
        <v>17.64</v>
      </c>
      <c r="AS87">
        <v>72.81</v>
      </c>
      <c r="AT87">
        <v>101.13</v>
      </c>
      <c r="AU87">
        <v>-10.37</v>
      </c>
      <c r="AV87">
        <v>-43.28</v>
      </c>
      <c r="AW87">
        <v>-6.79</v>
      </c>
      <c r="AX87">
        <v>105.36</v>
      </c>
      <c r="AY87">
        <v>1.99</v>
      </c>
      <c r="AZ87">
        <v>-2.2400000000000002</v>
      </c>
      <c r="BA87">
        <v>77.47</v>
      </c>
      <c r="BB87">
        <v>71.62</v>
      </c>
      <c r="BC87">
        <v>-8.5</v>
      </c>
      <c r="BD87">
        <v>-9.92</v>
      </c>
      <c r="BE87">
        <v>-25.49</v>
      </c>
      <c r="BF87">
        <v>-16.8</v>
      </c>
      <c r="BG87">
        <v>-32.840000000000003</v>
      </c>
      <c r="BH87">
        <v>-19</v>
      </c>
      <c r="BI87">
        <v>97.01</v>
      </c>
      <c r="BJ87">
        <v>-12.67</v>
      </c>
      <c r="BK87">
        <v>80.81</v>
      </c>
      <c r="BL87">
        <v>-11.76</v>
      </c>
      <c r="BM87">
        <v>27.57</v>
      </c>
      <c r="BN87">
        <v>13</v>
      </c>
      <c r="BO87">
        <v>37.43</v>
      </c>
    </row>
    <row r="88" spans="1:67">
      <c r="A88" s="17">
        <v>46097</v>
      </c>
      <c r="B88" s="15">
        <v>62.09</v>
      </c>
      <c r="C88" s="15">
        <v>-30.48</v>
      </c>
      <c r="D88" s="15">
        <v>35.94</v>
      </c>
      <c r="E88" s="15">
        <v>53.35</v>
      </c>
      <c r="F88" s="15">
        <v>8.08</v>
      </c>
      <c r="G88" s="15">
        <v>12.72</v>
      </c>
      <c r="H88" s="15">
        <v>4.2</v>
      </c>
      <c r="I88" s="15">
        <v>17.25</v>
      </c>
      <c r="J88" s="15">
        <v>83.71</v>
      </c>
      <c r="K88" s="15">
        <v>-12.38</v>
      </c>
      <c r="L88" s="15">
        <v>64.77</v>
      </c>
      <c r="M88" s="15">
        <v>-33.89</v>
      </c>
      <c r="N88" s="15">
        <v>75.45</v>
      </c>
      <c r="O88" s="15">
        <v>-0.64</v>
      </c>
      <c r="P88" s="15">
        <v>-10.11</v>
      </c>
      <c r="Q88">
        <v>-2.67</v>
      </c>
      <c r="R88">
        <v>28.05</v>
      </c>
      <c r="S88">
        <v>103.59</v>
      </c>
      <c r="T88">
        <v>71.53</v>
      </c>
      <c r="U88">
        <v>64.569999999999993</v>
      </c>
      <c r="V88">
        <v>-9.34</v>
      </c>
      <c r="W88">
        <v>10.11</v>
      </c>
      <c r="X88">
        <v>136.56</v>
      </c>
      <c r="Y88">
        <v>11.47</v>
      </c>
      <c r="Z88">
        <v>4.9000000000000004</v>
      </c>
      <c r="AA88">
        <v>-7.12</v>
      </c>
      <c r="AB88">
        <v>1.52</v>
      </c>
      <c r="AC88">
        <v>-24.54</v>
      </c>
      <c r="AD88">
        <v>-52.85</v>
      </c>
      <c r="AE88">
        <v>-30.57</v>
      </c>
      <c r="AF88">
        <v>-8.36</v>
      </c>
      <c r="AG88">
        <v>-35.81</v>
      </c>
      <c r="AH88">
        <v>112.38</v>
      </c>
      <c r="AI88">
        <v>94.77</v>
      </c>
      <c r="AJ88">
        <v>6.74</v>
      </c>
      <c r="AK88">
        <v>-29.83</v>
      </c>
      <c r="AL88">
        <v>-19.77</v>
      </c>
      <c r="AM88">
        <v>6.54</v>
      </c>
      <c r="AN88">
        <v>12.96</v>
      </c>
      <c r="AO88">
        <v>-8.2799999999999994</v>
      </c>
      <c r="AP88">
        <v>1.83</v>
      </c>
      <c r="AQ88">
        <v>100.33</v>
      </c>
      <c r="AR88">
        <v>18.18</v>
      </c>
      <c r="AS88">
        <v>75.319999999999993</v>
      </c>
      <c r="AT88">
        <v>101.42</v>
      </c>
      <c r="AU88">
        <v>-10.28</v>
      </c>
      <c r="AV88">
        <v>-44.38</v>
      </c>
      <c r="AW88">
        <v>-6.69</v>
      </c>
      <c r="AX88">
        <v>107.37</v>
      </c>
      <c r="AY88">
        <v>1.96</v>
      </c>
      <c r="AZ88">
        <v>-2.2999999999999998</v>
      </c>
      <c r="BA88">
        <v>76.42</v>
      </c>
      <c r="BB88">
        <v>73.84</v>
      </c>
      <c r="BC88">
        <v>-8.33</v>
      </c>
      <c r="BD88">
        <v>-9.7899999999999991</v>
      </c>
      <c r="BE88">
        <v>-25.29</v>
      </c>
      <c r="BF88">
        <v>-16.61</v>
      </c>
      <c r="BG88">
        <v>-32.69</v>
      </c>
      <c r="BH88">
        <v>-18.899999999999999</v>
      </c>
      <c r="BI88">
        <v>96.52</v>
      </c>
      <c r="BJ88">
        <v>-13.52</v>
      </c>
      <c r="BK88">
        <v>81.069999999999993</v>
      </c>
      <c r="BL88">
        <v>-12.03</v>
      </c>
      <c r="BM88">
        <v>27.97</v>
      </c>
      <c r="BN88">
        <v>13.15</v>
      </c>
      <c r="BO88">
        <v>37.4</v>
      </c>
    </row>
    <row r="89" spans="1:67">
      <c r="A89" s="18">
        <v>46098</v>
      </c>
      <c r="B89" s="15">
        <v>63.11</v>
      </c>
      <c r="C89" s="15">
        <v>-28.61</v>
      </c>
      <c r="D89" s="15">
        <v>36.369999999999997</v>
      </c>
      <c r="E89" s="15">
        <v>53.84</v>
      </c>
      <c r="F89" s="15">
        <v>7.83</v>
      </c>
      <c r="G89" s="15">
        <v>13.16</v>
      </c>
      <c r="H89" s="15">
        <v>4.6500000000000004</v>
      </c>
      <c r="I89" s="15">
        <v>17.36</v>
      </c>
      <c r="J89" s="15">
        <v>84.48</v>
      </c>
      <c r="K89" s="15">
        <v>-12.42</v>
      </c>
      <c r="L89" s="15">
        <v>64.14</v>
      </c>
      <c r="M89" s="15">
        <v>-34.479999999999997</v>
      </c>
      <c r="N89" s="15">
        <v>76.11</v>
      </c>
      <c r="O89" s="15">
        <v>-0.86</v>
      </c>
      <c r="P89" s="15">
        <v>-10.220000000000001</v>
      </c>
      <c r="Q89">
        <v>-2.89</v>
      </c>
      <c r="R89">
        <v>27.44</v>
      </c>
      <c r="S89">
        <v>105.4</v>
      </c>
      <c r="T89">
        <v>72.28</v>
      </c>
      <c r="U89">
        <v>64.45</v>
      </c>
      <c r="V89">
        <v>-9.5500000000000007</v>
      </c>
      <c r="W89">
        <v>10.1</v>
      </c>
      <c r="X89">
        <v>135.38</v>
      </c>
      <c r="Y89">
        <v>11.26</v>
      </c>
      <c r="Z89">
        <v>4.88</v>
      </c>
      <c r="AA89">
        <v>-7.26</v>
      </c>
      <c r="AB89">
        <v>1.06</v>
      </c>
      <c r="AC89">
        <v>-24.51</v>
      </c>
      <c r="AD89">
        <v>-53.41</v>
      </c>
      <c r="AE89">
        <v>-31.27</v>
      </c>
      <c r="AF89">
        <v>-8.73</v>
      </c>
      <c r="AG89">
        <v>-36.54</v>
      </c>
      <c r="AH89">
        <v>114.59</v>
      </c>
      <c r="AI89">
        <v>96.55</v>
      </c>
      <c r="AJ89">
        <v>6.35</v>
      </c>
      <c r="AK89">
        <v>-30.37</v>
      </c>
      <c r="AL89">
        <v>-19.97</v>
      </c>
      <c r="AM89">
        <v>6.4</v>
      </c>
      <c r="AN89">
        <v>12.95</v>
      </c>
      <c r="AO89">
        <v>-8.4</v>
      </c>
      <c r="AP89">
        <v>2.3199999999999998</v>
      </c>
      <c r="AQ89">
        <v>102</v>
      </c>
      <c r="AR89">
        <v>18.309999999999999</v>
      </c>
      <c r="AS89">
        <v>75.98</v>
      </c>
      <c r="AT89">
        <v>100.85</v>
      </c>
      <c r="AU89">
        <v>-10.6</v>
      </c>
      <c r="AV89">
        <v>-45.03</v>
      </c>
      <c r="AW89">
        <v>-6.87</v>
      </c>
      <c r="AX89">
        <v>109.14</v>
      </c>
      <c r="AY89">
        <v>1.92</v>
      </c>
      <c r="AZ89">
        <v>-2.6</v>
      </c>
      <c r="BA89">
        <v>78.23</v>
      </c>
      <c r="BB89">
        <v>74.540000000000006</v>
      </c>
      <c r="BC89">
        <v>-8.49</v>
      </c>
      <c r="BD89">
        <v>-10.029999999999999</v>
      </c>
      <c r="BE89">
        <v>-25.78</v>
      </c>
      <c r="BF89">
        <v>-16.82</v>
      </c>
      <c r="BG89">
        <v>-32.71</v>
      </c>
      <c r="BH89">
        <v>-19.28</v>
      </c>
      <c r="BI89">
        <v>96.26</v>
      </c>
      <c r="BJ89">
        <v>-13.56</v>
      </c>
      <c r="BK89">
        <v>80.94</v>
      </c>
      <c r="BL89">
        <v>-11.93</v>
      </c>
      <c r="BM89">
        <v>28.05</v>
      </c>
      <c r="BN89">
        <v>13.02</v>
      </c>
      <c r="BO89">
        <v>36.99</v>
      </c>
    </row>
    <row r="90" spans="1:67">
      <c r="A90" s="17">
        <v>46099</v>
      </c>
      <c r="B90" s="15">
        <v>64.709999999999994</v>
      </c>
      <c r="C90" s="15">
        <v>-25.4</v>
      </c>
      <c r="D90" s="15">
        <v>36.520000000000003</v>
      </c>
      <c r="E90" s="15">
        <v>54.73</v>
      </c>
      <c r="F90" s="15">
        <v>7.48</v>
      </c>
      <c r="G90" s="15">
        <v>13.44</v>
      </c>
      <c r="H90" s="15">
        <v>4.6900000000000004</v>
      </c>
      <c r="I90" s="15">
        <v>17.649999999999999</v>
      </c>
      <c r="J90" s="15">
        <v>85.43</v>
      </c>
      <c r="K90" s="15">
        <v>-12.37</v>
      </c>
      <c r="L90" s="15">
        <v>62.09</v>
      </c>
      <c r="M90" s="15">
        <v>-34.799999999999997</v>
      </c>
      <c r="N90" s="15">
        <v>76.86</v>
      </c>
      <c r="O90" s="15">
        <v>-0.89</v>
      </c>
      <c r="P90" s="15">
        <v>-10.36</v>
      </c>
      <c r="Q90">
        <v>-3.5</v>
      </c>
      <c r="R90">
        <v>26.85</v>
      </c>
      <c r="S90">
        <v>107.82</v>
      </c>
      <c r="T90">
        <v>72.650000000000006</v>
      </c>
      <c r="U90">
        <v>64.38</v>
      </c>
      <c r="V90">
        <v>-9.93</v>
      </c>
      <c r="W90">
        <v>9.6199999999999992</v>
      </c>
      <c r="X90">
        <v>134.38999999999999</v>
      </c>
      <c r="Y90">
        <v>11.16</v>
      </c>
      <c r="Z90">
        <v>4.91</v>
      </c>
      <c r="AA90">
        <v>-7.47</v>
      </c>
      <c r="AB90">
        <v>1.04</v>
      </c>
      <c r="AC90">
        <v>-24.91</v>
      </c>
      <c r="AD90">
        <v>-54.09</v>
      </c>
      <c r="AE90">
        <v>-32.299999999999997</v>
      </c>
      <c r="AF90">
        <v>-8.9600000000000009</v>
      </c>
      <c r="AG90">
        <v>-37.520000000000003</v>
      </c>
      <c r="AH90">
        <v>116.78</v>
      </c>
      <c r="AI90">
        <v>98.22</v>
      </c>
      <c r="AJ90">
        <v>6.48</v>
      </c>
      <c r="AK90">
        <v>-30.76</v>
      </c>
      <c r="AL90">
        <v>-20.329999999999998</v>
      </c>
      <c r="AM90">
        <v>7.76</v>
      </c>
      <c r="AN90">
        <v>12.88</v>
      </c>
      <c r="AO90">
        <v>-8.23</v>
      </c>
      <c r="AP90">
        <v>5.26</v>
      </c>
      <c r="AQ90">
        <v>105.19</v>
      </c>
      <c r="AR90">
        <v>18.05</v>
      </c>
      <c r="AS90">
        <v>78.099999999999994</v>
      </c>
      <c r="AT90">
        <v>98.75</v>
      </c>
      <c r="AU90">
        <v>-11</v>
      </c>
      <c r="AV90">
        <v>-46.06</v>
      </c>
      <c r="AW90">
        <v>-7.07</v>
      </c>
      <c r="AX90">
        <v>113.09</v>
      </c>
      <c r="AY90">
        <v>1.9</v>
      </c>
      <c r="AZ90">
        <v>-3.21</v>
      </c>
      <c r="BA90">
        <v>79.25</v>
      </c>
      <c r="BB90">
        <v>76.099999999999994</v>
      </c>
      <c r="BC90">
        <v>-8.7899999999999991</v>
      </c>
      <c r="BD90">
        <v>-10.34</v>
      </c>
      <c r="BE90">
        <v>-26.42</v>
      </c>
      <c r="BF90">
        <v>-17.13</v>
      </c>
      <c r="BG90">
        <v>-32.44</v>
      </c>
      <c r="BH90">
        <v>-19.850000000000001</v>
      </c>
      <c r="BI90">
        <v>94.62</v>
      </c>
      <c r="BJ90">
        <v>-13.35</v>
      </c>
      <c r="BK90">
        <v>80.33</v>
      </c>
      <c r="BL90">
        <v>-11.9</v>
      </c>
      <c r="BM90">
        <v>27.85</v>
      </c>
      <c r="BN90">
        <v>12.89</v>
      </c>
      <c r="BO90">
        <v>36.07</v>
      </c>
    </row>
    <row r="91" spans="1:67">
      <c r="A91" s="18">
        <v>46100</v>
      </c>
      <c r="B91" s="15">
        <v>67.08</v>
      </c>
      <c r="C91" s="15">
        <v>-24.08</v>
      </c>
      <c r="D91" s="15">
        <v>36.07</v>
      </c>
      <c r="E91" s="15">
        <v>57.21</v>
      </c>
      <c r="F91" s="15">
        <v>5.61</v>
      </c>
      <c r="G91" s="15">
        <v>13.47</v>
      </c>
      <c r="H91" s="15">
        <v>4.74</v>
      </c>
      <c r="I91" s="15">
        <v>17.690000000000001</v>
      </c>
      <c r="J91" s="15">
        <v>85.84</v>
      </c>
      <c r="K91" s="15">
        <v>-12.24</v>
      </c>
      <c r="L91" s="15">
        <v>60.38</v>
      </c>
      <c r="M91" s="15">
        <v>-34.869999999999997</v>
      </c>
      <c r="N91" s="15">
        <v>76.78</v>
      </c>
      <c r="O91" s="15">
        <v>-0.93</v>
      </c>
      <c r="P91" s="15">
        <v>-10.62</v>
      </c>
      <c r="Q91">
        <v>-4.72</v>
      </c>
      <c r="R91">
        <v>25.49</v>
      </c>
      <c r="S91">
        <v>112.08</v>
      </c>
      <c r="T91">
        <v>72.13</v>
      </c>
      <c r="U91">
        <v>64.06</v>
      </c>
      <c r="V91">
        <v>-10.49</v>
      </c>
      <c r="W91">
        <v>8.44</v>
      </c>
      <c r="X91">
        <v>130.57</v>
      </c>
      <c r="Y91">
        <v>11.41</v>
      </c>
      <c r="Z91">
        <v>4.99</v>
      </c>
      <c r="AA91">
        <v>-7.9</v>
      </c>
      <c r="AB91">
        <v>1.66</v>
      </c>
      <c r="AC91">
        <v>-25</v>
      </c>
      <c r="AD91">
        <v>-54.04</v>
      </c>
      <c r="AE91">
        <v>-34.04</v>
      </c>
      <c r="AF91">
        <v>-9.24</v>
      </c>
      <c r="AG91">
        <v>-38.85</v>
      </c>
      <c r="AH91">
        <v>118.93</v>
      </c>
      <c r="AI91">
        <v>98.5</v>
      </c>
      <c r="AJ91">
        <v>6.72</v>
      </c>
      <c r="AK91">
        <v>-31.29</v>
      </c>
      <c r="AL91">
        <v>-21.14</v>
      </c>
      <c r="AM91">
        <v>11.63</v>
      </c>
      <c r="AN91">
        <v>12.7</v>
      </c>
      <c r="AO91">
        <v>-7.51</v>
      </c>
      <c r="AP91">
        <v>7.63</v>
      </c>
      <c r="AQ91">
        <v>110.58</v>
      </c>
      <c r="AR91">
        <v>17.48</v>
      </c>
      <c r="AS91">
        <v>80.540000000000006</v>
      </c>
      <c r="AT91">
        <v>96.42</v>
      </c>
      <c r="AU91">
        <v>-11.64</v>
      </c>
      <c r="AV91">
        <v>-47.89</v>
      </c>
      <c r="AW91">
        <v>-7.21</v>
      </c>
      <c r="AX91">
        <v>121.83</v>
      </c>
      <c r="AY91">
        <v>1.93</v>
      </c>
      <c r="AZ91">
        <v>-3.99</v>
      </c>
      <c r="BA91">
        <v>79.94</v>
      </c>
      <c r="BB91">
        <v>77.34</v>
      </c>
      <c r="BC91">
        <v>-8.98</v>
      </c>
      <c r="BD91">
        <v>-10.57</v>
      </c>
      <c r="BE91">
        <v>-27.05</v>
      </c>
      <c r="BF91">
        <v>-18.16</v>
      </c>
      <c r="BG91">
        <v>-31.71</v>
      </c>
      <c r="BH91">
        <v>-20.6</v>
      </c>
      <c r="BI91">
        <v>90.61</v>
      </c>
      <c r="BJ91">
        <v>-13.66</v>
      </c>
      <c r="BK91">
        <v>79.42</v>
      </c>
      <c r="BL91">
        <v>-11.84</v>
      </c>
      <c r="BM91">
        <v>27.31</v>
      </c>
      <c r="BN91">
        <v>12.82</v>
      </c>
      <c r="BO91">
        <v>34.51</v>
      </c>
    </row>
    <row r="92" spans="1:67">
      <c r="A92" s="17">
        <v>46101</v>
      </c>
      <c r="B92" s="15">
        <v>67.34</v>
      </c>
      <c r="C92" s="15">
        <v>-23.53</v>
      </c>
      <c r="D92" s="15">
        <v>36</v>
      </c>
      <c r="E92" s="15">
        <v>56.48</v>
      </c>
      <c r="F92" s="15">
        <v>5.23</v>
      </c>
      <c r="G92" s="15">
        <v>13.66</v>
      </c>
      <c r="H92" s="15">
        <v>5.12</v>
      </c>
      <c r="I92" s="15">
        <v>17.87</v>
      </c>
      <c r="J92" s="15">
        <v>85.21</v>
      </c>
      <c r="K92" s="15">
        <v>-12.2</v>
      </c>
      <c r="L92" s="15">
        <v>59.16</v>
      </c>
      <c r="M92" s="15">
        <v>-34.89</v>
      </c>
      <c r="N92" s="15">
        <v>77.41</v>
      </c>
      <c r="O92" s="15">
        <v>-1.05</v>
      </c>
      <c r="P92" s="15">
        <v>-10.54</v>
      </c>
      <c r="Q92">
        <v>-4.41</v>
      </c>
      <c r="R92">
        <v>24.85</v>
      </c>
      <c r="S92">
        <v>111.81</v>
      </c>
      <c r="T92">
        <v>72.64</v>
      </c>
      <c r="U92">
        <v>63.74</v>
      </c>
      <c r="V92">
        <v>-10.42</v>
      </c>
      <c r="W92">
        <v>8.52</v>
      </c>
      <c r="X92">
        <v>128.63999999999999</v>
      </c>
      <c r="Y92">
        <v>11.47</v>
      </c>
      <c r="Z92">
        <v>5.0199999999999996</v>
      </c>
      <c r="AA92">
        <v>-7.8</v>
      </c>
      <c r="AB92">
        <v>0.93</v>
      </c>
      <c r="AC92">
        <v>-24.77</v>
      </c>
      <c r="AD92">
        <v>-53.97</v>
      </c>
      <c r="AE92">
        <v>-34.020000000000003</v>
      </c>
      <c r="AF92">
        <v>-9.26</v>
      </c>
      <c r="AG92">
        <v>-38.86</v>
      </c>
      <c r="AH92">
        <v>119.93</v>
      </c>
      <c r="AI92">
        <v>99.4</v>
      </c>
      <c r="AJ92">
        <v>6.41</v>
      </c>
      <c r="AK92">
        <v>-31.59</v>
      </c>
      <c r="AL92">
        <v>-20.92</v>
      </c>
      <c r="AM92">
        <v>9.68</v>
      </c>
      <c r="AN92">
        <v>12.68</v>
      </c>
      <c r="AO92">
        <v>-7.92</v>
      </c>
      <c r="AP92">
        <v>6.17</v>
      </c>
      <c r="AQ92">
        <v>109.63</v>
      </c>
      <c r="AR92">
        <v>17.25</v>
      </c>
      <c r="AS92">
        <v>79.81</v>
      </c>
      <c r="AT92">
        <v>95.3</v>
      </c>
      <c r="AU92">
        <v>-11.81</v>
      </c>
      <c r="AV92">
        <v>-47.7</v>
      </c>
      <c r="AW92">
        <v>-7.32</v>
      </c>
      <c r="AX92">
        <v>119.76</v>
      </c>
      <c r="AY92">
        <v>1.86</v>
      </c>
      <c r="AZ92">
        <v>-4.0599999999999996</v>
      </c>
      <c r="BA92">
        <v>80.73</v>
      </c>
      <c r="BB92">
        <v>77.400000000000006</v>
      </c>
      <c r="BC92">
        <v>-9.07</v>
      </c>
      <c r="BD92">
        <v>-10.62</v>
      </c>
      <c r="BE92">
        <v>-27.07</v>
      </c>
      <c r="BF92">
        <v>-17.8</v>
      </c>
      <c r="BG92">
        <v>-31.56</v>
      </c>
      <c r="BH92">
        <v>-20.58</v>
      </c>
      <c r="BI92">
        <v>89.96</v>
      </c>
      <c r="BJ92">
        <v>-13.89</v>
      </c>
      <c r="BK92">
        <v>79.52</v>
      </c>
      <c r="BL92">
        <v>-11.85</v>
      </c>
      <c r="BM92">
        <v>27.25</v>
      </c>
      <c r="BN92">
        <v>12.86</v>
      </c>
      <c r="BO92">
        <v>33.729999999999997</v>
      </c>
    </row>
    <row r="93" spans="1:67">
      <c r="A93" s="19">
        <v>46104</v>
      </c>
      <c r="B93">
        <v>68.61</v>
      </c>
      <c r="C93">
        <v>-29.42</v>
      </c>
      <c r="D93">
        <v>35.380000000000003</v>
      </c>
      <c r="E93">
        <v>55.32</v>
      </c>
      <c r="F93">
        <v>3.91</v>
      </c>
      <c r="G93">
        <v>12.86</v>
      </c>
      <c r="H93">
        <v>4.49</v>
      </c>
      <c r="I93">
        <v>17.68</v>
      </c>
      <c r="J93">
        <v>89.78</v>
      </c>
      <c r="K93">
        <v>-11.99</v>
      </c>
      <c r="L93">
        <v>61.06</v>
      </c>
      <c r="M93">
        <v>-33.090000000000003</v>
      </c>
      <c r="N93">
        <v>74.78</v>
      </c>
      <c r="O93">
        <v>-0.42</v>
      </c>
      <c r="P93">
        <v>-10.25</v>
      </c>
      <c r="Q93">
        <v>-3.84</v>
      </c>
      <c r="R93">
        <v>25.87</v>
      </c>
      <c r="S93">
        <v>111.59</v>
      </c>
      <c r="T93">
        <v>69.86</v>
      </c>
      <c r="U93">
        <v>64.13</v>
      </c>
      <c r="V93">
        <v>-9.82</v>
      </c>
      <c r="W93">
        <v>8.15</v>
      </c>
      <c r="X93">
        <v>130.84</v>
      </c>
      <c r="Y93">
        <v>12.2</v>
      </c>
      <c r="Z93">
        <v>5.18</v>
      </c>
      <c r="AA93">
        <v>-7.44</v>
      </c>
      <c r="AB93">
        <v>2.12</v>
      </c>
      <c r="AC93">
        <v>-26.08</v>
      </c>
      <c r="AD93">
        <v>-51.78</v>
      </c>
      <c r="AE93">
        <v>-32.22</v>
      </c>
      <c r="AF93">
        <v>-8.31</v>
      </c>
      <c r="AG93">
        <v>-36.880000000000003</v>
      </c>
      <c r="AH93">
        <v>121.24</v>
      </c>
      <c r="AI93">
        <v>94.01</v>
      </c>
      <c r="AJ93">
        <v>7.59</v>
      </c>
      <c r="AK93">
        <v>-30.26</v>
      </c>
      <c r="AL93">
        <v>-20.57</v>
      </c>
      <c r="AM93">
        <v>10.130000000000001</v>
      </c>
      <c r="AN93">
        <v>12.48</v>
      </c>
      <c r="AO93">
        <v>-7.43</v>
      </c>
      <c r="AP93">
        <v>13.05</v>
      </c>
      <c r="AQ93">
        <v>105.42</v>
      </c>
      <c r="AR93">
        <v>17.489999999999998</v>
      </c>
      <c r="AS93">
        <v>82.79</v>
      </c>
      <c r="AT93">
        <v>96.02</v>
      </c>
      <c r="AU93">
        <v>-11.12</v>
      </c>
      <c r="AV93">
        <v>-47.69</v>
      </c>
      <c r="AW93">
        <v>-6.78</v>
      </c>
      <c r="AX93">
        <v>117.82</v>
      </c>
      <c r="AY93">
        <v>1.97</v>
      </c>
      <c r="AZ93">
        <v>-3.21</v>
      </c>
      <c r="BA93">
        <v>75.7</v>
      </c>
      <c r="BB93">
        <v>80.36</v>
      </c>
      <c r="BC93">
        <v>-8.5299999999999994</v>
      </c>
      <c r="BD93">
        <v>-9.9</v>
      </c>
      <c r="BE93">
        <v>-25.63</v>
      </c>
      <c r="BF93">
        <v>-17.05</v>
      </c>
      <c r="BG93">
        <v>-31.1</v>
      </c>
      <c r="BH93">
        <v>-19.48</v>
      </c>
      <c r="BI93">
        <v>88.52</v>
      </c>
      <c r="BJ93">
        <v>-13.68</v>
      </c>
      <c r="BK93">
        <v>79.22</v>
      </c>
      <c r="BL93">
        <v>-12.33</v>
      </c>
      <c r="BM93">
        <v>28.12</v>
      </c>
      <c r="BN93">
        <v>13.14</v>
      </c>
      <c r="BO93">
        <v>33.659999999999997</v>
      </c>
    </row>
    <row r="94" spans="1:67">
      <c r="A94" s="19">
        <v>46105</v>
      </c>
      <c r="B94">
        <v>69.42</v>
      </c>
      <c r="C94">
        <v>-27.69</v>
      </c>
      <c r="D94">
        <v>35.549999999999997</v>
      </c>
      <c r="E94">
        <v>54.13</v>
      </c>
      <c r="F94">
        <v>4.46</v>
      </c>
      <c r="G94">
        <v>13.26</v>
      </c>
      <c r="H94">
        <v>4.7300000000000004</v>
      </c>
      <c r="I94">
        <v>16.39</v>
      </c>
      <c r="J94">
        <v>90.6</v>
      </c>
      <c r="K94">
        <v>-11.97</v>
      </c>
      <c r="L94">
        <v>60.46</v>
      </c>
      <c r="M94">
        <v>-33.409999999999997</v>
      </c>
      <c r="N94">
        <v>75.66</v>
      </c>
      <c r="O94">
        <v>-0.68</v>
      </c>
      <c r="P94">
        <v>-10.25</v>
      </c>
      <c r="Q94">
        <v>-3.49</v>
      </c>
      <c r="R94">
        <v>25.1</v>
      </c>
      <c r="S94">
        <v>111.92</v>
      </c>
      <c r="T94">
        <v>70.97</v>
      </c>
      <c r="U94">
        <v>63.95</v>
      </c>
      <c r="V94">
        <v>-9.82</v>
      </c>
      <c r="W94">
        <v>8.34</v>
      </c>
      <c r="X94">
        <v>129.47999999999999</v>
      </c>
      <c r="Y94">
        <v>12.18</v>
      </c>
      <c r="Z94">
        <v>5.22</v>
      </c>
      <c r="AA94">
        <v>-7.39</v>
      </c>
      <c r="AB94">
        <v>1.1399999999999999</v>
      </c>
      <c r="AC94">
        <v>-26</v>
      </c>
      <c r="AD94">
        <v>-51.98</v>
      </c>
      <c r="AE94">
        <v>-32.31</v>
      </c>
      <c r="AF94">
        <v>-8.49</v>
      </c>
      <c r="AG94">
        <v>-37.1</v>
      </c>
      <c r="AH94">
        <v>123.5</v>
      </c>
      <c r="AI94">
        <v>96.06</v>
      </c>
      <c r="AJ94">
        <v>7.18</v>
      </c>
      <c r="AK94">
        <v>-30.71</v>
      </c>
      <c r="AL94">
        <v>-20.36</v>
      </c>
      <c r="AM94">
        <v>7.63</v>
      </c>
      <c r="AN94">
        <v>12.48</v>
      </c>
      <c r="AO94">
        <v>-8.07</v>
      </c>
      <c r="AP94">
        <v>12.63</v>
      </c>
      <c r="AQ94">
        <v>104.57</v>
      </c>
      <c r="AR94">
        <v>17.21</v>
      </c>
      <c r="AS94">
        <v>82.65</v>
      </c>
      <c r="AT94">
        <v>95.43</v>
      </c>
      <c r="AU94">
        <v>-11.38</v>
      </c>
      <c r="AV94">
        <v>-47.41</v>
      </c>
      <c r="AW94">
        <v>-7.01</v>
      </c>
      <c r="AX94">
        <v>115.49</v>
      </c>
      <c r="AY94">
        <v>1.89</v>
      </c>
      <c r="AZ94">
        <v>-3.22</v>
      </c>
      <c r="BA94">
        <v>77.27</v>
      </c>
      <c r="BB94">
        <v>81.08</v>
      </c>
      <c r="BC94">
        <v>-8.75</v>
      </c>
      <c r="BD94">
        <v>-10.050000000000001</v>
      </c>
      <c r="BE94">
        <v>-25.81</v>
      </c>
      <c r="BF94">
        <v>-16.690000000000001</v>
      </c>
      <c r="BG94">
        <v>-31.01</v>
      </c>
      <c r="BH94">
        <v>-19.55</v>
      </c>
      <c r="BI94">
        <v>88.14</v>
      </c>
      <c r="BJ94">
        <v>-13.63</v>
      </c>
      <c r="BK94">
        <v>79.47</v>
      </c>
      <c r="BL94">
        <v>-12.21</v>
      </c>
      <c r="BM94">
        <v>27.48</v>
      </c>
      <c r="BN94">
        <v>13.12</v>
      </c>
      <c r="BO94">
        <v>32.979999999999997</v>
      </c>
    </row>
    <row r="95" spans="1:67">
      <c r="A95" s="19">
        <v>46106</v>
      </c>
      <c r="B95">
        <v>65.17</v>
      </c>
      <c r="C95">
        <v>-28.96</v>
      </c>
      <c r="D95">
        <v>35.96</v>
      </c>
      <c r="E95">
        <v>53.7</v>
      </c>
      <c r="F95">
        <v>6.01</v>
      </c>
      <c r="G95">
        <v>13.29</v>
      </c>
      <c r="H95">
        <v>4.46</v>
      </c>
      <c r="I95">
        <v>16.170000000000002</v>
      </c>
      <c r="J95">
        <v>84.95</v>
      </c>
      <c r="K95">
        <v>-12.04</v>
      </c>
      <c r="L95">
        <v>62.05</v>
      </c>
      <c r="M95">
        <v>-33.29</v>
      </c>
      <c r="N95">
        <v>75.44</v>
      </c>
      <c r="O95">
        <v>-0.53</v>
      </c>
      <c r="P95">
        <v>-10.15</v>
      </c>
      <c r="Q95">
        <v>-3.3</v>
      </c>
      <c r="R95">
        <v>26.16</v>
      </c>
      <c r="S95">
        <v>106.33</v>
      </c>
      <c r="T95">
        <v>70.38</v>
      </c>
      <c r="U95">
        <v>63.89</v>
      </c>
      <c r="V95">
        <v>-9.6300000000000008</v>
      </c>
      <c r="W95">
        <v>8.76</v>
      </c>
      <c r="X95">
        <v>130.81</v>
      </c>
      <c r="Y95">
        <v>12.2</v>
      </c>
      <c r="Z95">
        <v>5.15</v>
      </c>
      <c r="AA95">
        <v>-7.25</v>
      </c>
      <c r="AB95">
        <v>1.34</v>
      </c>
      <c r="AC95">
        <v>-25.04</v>
      </c>
      <c r="AD95">
        <v>-52.1</v>
      </c>
      <c r="AE95">
        <v>-31.6</v>
      </c>
      <c r="AF95">
        <v>-8.0500000000000007</v>
      </c>
      <c r="AG95">
        <v>-36.520000000000003</v>
      </c>
      <c r="AH95">
        <v>115.85</v>
      </c>
      <c r="AI95">
        <v>94.87</v>
      </c>
      <c r="AJ95">
        <v>7.32</v>
      </c>
      <c r="AK95">
        <v>-30.28</v>
      </c>
      <c r="AL95">
        <v>-20.23</v>
      </c>
      <c r="AM95">
        <v>7.91</v>
      </c>
      <c r="AN95">
        <v>12.62</v>
      </c>
      <c r="AO95">
        <v>-8.08</v>
      </c>
      <c r="AP95">
        <v>5.5</v>
      </c>
      <c r="AQ95">
        <v>102.99</v>
      </c>
      <c r="AR95">
        <v>17.28</v>
      </c>
      <c r="AS95">
        <v>78.19</v>
      </c>
      <c r="AT95">
        <v>97.11</v>
      </c>
      <c r="AU95">
        <v>-10.96</v>
      </c>
      <c r="AV95">
        <v>-45.57</v>
      </c>
      <c r="AW95">
        <v>-6.81</v>
      </c>
      <c r="AX95">
        <v>111.92</v>
      </c>
      <c r="AY95">
        <v>1.94</v>
      </c>
      <c r="AZ95">
        <v>-2.84</v>
      </c>
      <c r="BA95">
        <v>76.06</v>
      </c>
      <c r="BB95">
        <v>76.489999999999995</v>
      </c>
      <c r="BC95">
        <v>-8.58</v>
      </c>
      <c r="BD95">
        <v>-9.9</v>
      </c>
      <c r="BE95">
        <v>-25.46</v>
      </c>
      <c r="BF95">
        <v>-16.86</v>
      </c>
      <c r="BG95">
        <v>-31.44</v>
      </c>
      <c r="BH95">
        <v>-19.25</v>
      </c>
      <c r="BI95">
        <v>90.64</v>
      </c>
      <c r="BJ95">
        <v>-13.14</v>
      </c>
      <c r="BK95">
        <v>80.37</v>
      </c>
      <c r="BL95">
        <v>-12.21</v>
      </c>
      <c r="BM95">
        <v>28.03</v>
      </c>
      <c r="BN95">
        <v>13.19</v>
      </c>
      <c r="BO95">
        <v>34.67</v>
      </c>
    </row>
    <row r="96" spans="1:67">
      <c r="A96" s="19">
        <v>46107</v>
      </c>
      <c r="B96">
        <v>62.54</v>
      </c>
      <c r="C96">
        <v>-26.02</v>
      </c>
      <c r="D96">
        <v>36.08</v>
      </c>
      <c r="E96">
        <v>54.93</v>
      </c>
      <c r="F96">
        <v>9.17</v>
      </c>
      <c r="G96">
        <v>13.62</v>
      </c>
      <c r="H96">
        <v>4.82</v>
      </c>
      <c r="I96">
        <v>17.010000000000002</v>
      </c>
      <c r="J96">
        <v>76.45</v>
      </c>
      <c r="K96">
        <v>-11.99</v>
      </c>
      <c r="L96">
        <v>60.77</v>
      </c>
      <c r="M96">
        <v>-33.840000000000003</v>
      </c>
      <c r="N96">
        <v>75.81</v>
      </c>
      <c r="O96">
        <v>-0.91</v>
      </c>
      <c r="P96">
        <v>-10.33</v>
      </c>
      <c r="Q96">
        <v>-3.74</v>
      </c>
      <c r="R96">
        <v>24.85</v>
      </c>
      <c r="S96">
        <v>102.87</v>
      </c>
      <c r="T96">
        <v>71.11</v>
      </c>
      <c r="U96">
        <v>62.82</v>
      </c>
      <c r="V96">
        <v>-10</v>
      </c>
      <c r="W96">
        <v>8.19</v>
      </c>
      <c r="X96">
        <v>124.66</v>
      </c>
      <c r="Y96">
        <v>11.62</v>
      </c>
      <c r="Z96">
        <v>5.2</v>
      </c>
      <c r="AA96">
        <v>-7.49</v>
      </c>
      <c r="AB96">
        <v>1.1499999999999999</v>
      </c>
      <c r="AC96">
        <v>-23.34</v>
      </c>
      <c r="AD96">
        <v>-52.54</v>
      </c>
      <c r="AE96">
        <v>-32.96</v>
      </c>
      <c r="AF96">
        <v>-8.76</v>
      </c>
      <c r="AG96">
        <v>-37.78</v>
      </c>
      <c r="AH96">
        <v>109.37</v>
      </c>
      <c r="AI96">
        <v>97.21</v>
      </c>
      <c r="AJ96">
        <v>7.19</v>
      </c>
      <c r="AK96">
        <v>-30.98</v>
      </c>
      <c r="AL96">
        <v>-20.57</v>
      </c>
      <c r="AM96">
        <v>8.64</v>
      </c>
      <c r="AN96">
        <v>12.52</v>
      </c>
      <c r="AO96">
        <v>-8.0399999999999991</v>
      </c>
      <c r="AP96">
        <v>-5.42</v>
      </c>
      <c r="AQ96">
        <v>105.85</v>
      </c>
      <c r="AR96">
        <v>16.989999999999998</v>
      </c>
      <c r="AS96">
        <v>73.08</v>
      </c>
      <c r="AT96">
        <v>95.22</v>
      </c>
      <c r="AU96">
        <v>-11.55</v>
      </c>
      <c r="AV96">
        <v>-44.85</v>
      </c>
      <c r="AW96">
        <v>-7.12</v>
      </c>
      <c r="AX96">
        <v>112.69</v>
      </c>
      <c r="AY96">
        <v>1.89</v>
      </c>
      <c r="AZ96">
        <v>-3.4</v>
      </c>
      <c r="BA96">
        <v>77.900000000000006</v>
      </c>
      <c r="BB96">
        <v>71.400000000000006</v>
      </c>
      <c r="BC96">
        <v>-8.89</v>
      </c>
      <c r="BD96">
        <v>-10.24</v>
      </c>
      <c r="BE96">
        <v>-26.17</v>
      </c>
      <c r="BF96">
        <v>-17.63</v>
      </c>
      <c r="BG96">
        <v>-30.93</v>
      </c>
      <c r="BH96">
        <v>-19.920000000000002</v>
      </c>
      <c r="BI96">
        <v>87.68</v>
      </c>
      <c r="BJ96">
        <v>-13.22</v>
      </c>
      <c r="BK96">
        <v>78.819999999999993</v>
      </c>
      <c r="BL96">
        <v>-12.13</v>
      </c>
      <c r="BM96">
        <v>27.65</v>
      </c>
      <c r="BN96">
        <v>12.95</v>
      </c>
      <c r="BO96">
        <v>34.049999999999997</v>
      </c>
    </row>
    <row r="97" spans="1:67">
      <c r="A97" s="19">
        <v>46108</v>
      </c>
      <c r="B97">
        <v>63.74</v>
      </c>
      <c r="C97">
        <v>-24.8</v>
      </c>
      <c r="D97">
        <v>36.39</v>
      </c>
      <c r="E97">
        <v>55.01</v>
      </c>
      <c r="F97">
        <v>8.5399999999999991</v>
      </c>
      <c r="G97">
        <v>13.57</v>
      </c>
      <c r="H97">
        <v>5.1100000000000003</v>
      </c>
      <c r="I97">
        <v>17.75</v>
      </c>
      <c r="J97">
        <v>79.239999999999995</v>
      </c>
      <c r="K97">
        <v>-12.1</v>
      </c>
      <c r="L97">
        <v>60.69</v>
      </c>
      <c r="M97">
        <v>-34.4</v>
      </c>
      <c r="N97">
        <v>76.680000000000007</v>
      </c>
      <c r="O97">
        <v>-1.17</v>
      </c>
      <c r="P97">
        <v>-10.37</v>
      </c>
      <c r="Q97">
        <v>-3.63</v>
      </c>
      <c r="R97">
        <v>24.68</v>
      </c>
      <c r="S97">
        <v>104.91</v>
      </c>
      <c r="T97">
        <v>72</v>
      </c>
      <c r="U97">
        <v>63.02</v>
      </c>
      <c r="V97">
        <v>-10.039999999999999</v>
      </c>
      <c r="W97">
        <v>8.59</v>
      </c>
      <c r="X97">
        <v>125.93</v>
      </c>
      <c r="Y97">
        <v>11.21</v>
      </c>
      <c r="Z97">
        <v>5.12</v>
      </c>
      <c r="AA97">
        <v>-7.5</v>
      </c>
      <c r="AB97">
        <v>0.97</v>
      </c>
      <c r="AC97">
        <v>-23.69</v>
      </c>
      <c r="AD97">
        <v>-53.26</v>
      </c>
      <c r="AE97">
        <v>-33.22</v>
      </c>
      <c r="AF97">
        <v>-9.16</v>
      </c>
      <c r="AG97">
        <v>-38.130000000000003</v>
      </c>
      <c r="AH97">
        <v>112.88</v>
      </c>
      <c r="AI97">
        <v>98.81</v>
      </c>
      <c r="AJ97">
        <v>6.66</v>
      </c>
      <c r="AK97">
        <v>-31.34</v>
      </c>
      <c r="AL97">
        <v>-20.51</v>
      </c>
      <c r="AM97">
        <v>7.59</v>
      </c>
      <c r="AN97">
        <v>12.53</v>
      </c>
      <c r="AO97">
        <v>-8.31</v>
      </c>
      <c r="AP97">
        <v>-2.84</v>
      </c>
      <c r="AQ97">
        <v>105.91</v>
      </c>
      <c r="AR97">
        <v>16.95</v>
      </c>
      <c r="AS97">
        <v>74.459999999999994</v>
      </c>
      <c r="AT97">
        <v>95.74</v>
      </c>
      <c r="AU97">
        <v>-11.69</v>
      </c>
      <c r="AV97">
        <v>-45.34</v>
      </c>
      <c r="AW97">
        <v>-7.24</v>
      </c>
      <c r="AX97">
        <v>112.46</v>
      </c>
      <c r="AY97">
        <v>1.83</v>
      </c>
      <c r="AZ97">
        <v>-3.46</v>
      </c>
      <c r="BA97">
        <v>79.39</v>
      </c>
      <c r="BB97">
        <v>73.06</v>
      </c>
      <c r="BC97">
        <v>-9</v>
      </c>
      <c r="BD97">
        <v>-10.4</v>
      </c>
      <c r="BE97">
        <v>-26.46</v>
      </c>
      <c r="BF97">
        <v>-17.43</v>
      </c>
      <c r="BG97">
        <v>-31.28</v>
      </c>
      <c r="BH97">
        <v>-20.14</v>
      </c>
      <c r="BI97">
        <v>88.92</v>
      </c>
      <c r="BJ97">
        <v>-13.39</v>
      </c>
      <c r="BK97">
        <v>78.739999999999995</v>
      </c>
      <c r="BL97">
        <v>-11.92</v>
      </c>
      <c r="BM97">
        <v>27.7</v>
      </c>
      <c r="BN97">
        <v>12.81</v>
      </c>
      <c r="BO97">
        <v>33.770000000000003</v>
      </c>
    </row>
    <row r="98" spans="1:67">
      <c r="A98" s="19">
        <v>46111</v>
      </c>
      <c r="B98">
        <v>62.89</v>
      </c>
      <c r="C98">
        <v>-23.43</v>
      </c>
      <c r="D98">
        <v>36.909999999999997</v>
      </c>
      <c r="E98">
        <v>55.2</v>
      </c>
      <c r="F98">
        <v>10.47</v>
      </c>
      <c r="G98">
        <v>13.74</v>
      </c>
      <c r="H98">
        <v>5.43</v>
      </c>
      <c r="I98">
        <v>17.84</v>
      </c>
      <c r="J98">
        <v>77.040000000000006</v>
      </c>
      <c r="K98">
        <v>-12.18</v>
      </c>
      <c r="L98">
        <v>60.86</v>
      </c>
      <c r="M98">
        <v>-34.86</v>
      </c>
      <c r="N98">
        <v>77</v>
      </c>
      <c r="O98">
        <v>-1.38</v>
      </c>
      <c r="P98">
        <v>-10.46</v>
      </c>
      <c r="Q98">
        <v>-3.77</v>
      </c>
      <c r="R98">
        <v>24.49</v>
      </c>
      <c r="S98">
        <v>104.01</v>
      </c>
      <c r="T98">
        <v>72.66</v>
      </c>
      <c r="U98">
        <v>62.85</v>
      </c>
      <c r="V98">
        <v>-10.18</v>
      </c>
      <c r="W98">
        <v>8.67</v>
      </c>
      <c r="X98">
        <v>124.98</v>
      </c>
      <c r="Y98">
        <v>10.74</v>
      </c>
      <c r="Z98">
        <v>5.0999999999999996</v>
      </c>
      <c r="AA98">
        <v>-7.62</v>
      </c>
      <c r="AB98">
        <v>0.79</v>
      </c>
      <c r="AC98">
        <v>-23.19</v>
      </c>
      <c r="AD98">
        <v>-53.73</v>
      </c>
      <c r="AE98">
        <v>-33.590000000000003</v>
      </c>
      <c r="AF98">
        <v>-9.6199999999999992</v>
      </c>
      <c r="AG98">
        <v>-38.6</v>
      </c>
      <c r="AH98">
        <v>111.3</v>
      </c>
      <c r="AI98">
        <v>100.21</v>
      </c>
      <c r="AJ98">
        <v>6.42</v>
      </c>
      <c r="AK98">
        <v>-31.65</v>
      </c>
      <c r="AL98">
        <v>-20.6</v>
      </c>
      <c r="AM98">
        <v>7.21</v>
      </c>
      <c r="AN98">
        <v>12.53</v>
      </c>
      <c r="AO98">
        <v>-8.4</v>
      </c>
      <c r="AP98">
        <v>-6.15</v>
      </c>
      <c r="AQ98">
        <v>106.84</v>
      </c>
      <c r="AR98">
        <v>16.97</v>
      </c>
      <c r="AS98">
        <v>72.88</v>
      </c>
      <c r="AT98">
        <v>95.7</v>
      </c>
      <c r="AU98">
        <v>-11.87</v>
      </c>
      <c r="AV98">
        <v>-45.07</v>
      </c>
      <c r="AW98">
        <v>-7.38</v>
      </c>
      <c r="AX98">
        <v>112.34</v>
      </c>
      <c r="AY98">
        <v>1.82</v>
      </c>
      <c r="AZ98">
        <v>-3.6</v>
      </c>
      <c r="BA98">
        <v>80.599999999999994</v>
      </c>
      <c r="BB98">
        <v>71.510000000000005</v>
      </c>
      <c r="BC98">
        <v>-9.1</v>
      </c>
      <c r="BD98">
        <v>-10.57</v>
      </c>
      <c r="BE98">
        <v>-26.79</v>
      </c>
      <c r="BF98">
        <v>-17.670000000000002</v>
      </c>
      <c r="BG98">
        <v>-31.37</v>
      </c>
      <c r="BH98">
        <v>-20.38</v>
      </c>
      <c r="BI98">
        <v>89.05</v>
      </c>
      <c r="BJ98">
        <v>-13.4</v>
      </c>
      <c r="BK98">
        <v>78.180000000000007</v>
      </c>
      <c r="BL98">
        <v>-11.89</v>
      </c>
      <c r="BM98">
        <v>28.03</v>
      </c>
      <c r="BN98">
        <v>12.66</v>
      </c>
      <c r="BO98">
        <v>33.82</v>
      </c>
    </row>
    <row r="99" spans="1:67">
      <c r="A99" s="19">
        <v>46112</v>
      </c>
      <c r="B99">
        <v>61.63</v>
      </c>
      <c r="C99">
        <v>-26.2</v>
      </c>
      <c r="D99">
        <v>36.99</v>
      </c>
      <c r="E99">
        <v>54.08</v>
      </c>
      <c r="F99">
        <v>11.3</v>
      </c>
      <c r="G99">
        <v>13.77</v>
      </c>
      <c r="H99">
        <v>5.31</v>
      </c>
      <c r="I99">
        <v>17.690000000000001</v>
      </c>
      <c r="J99">
        <v>76.819999999999993</v>
      </c>
      <c r="K99">
        <v>-12.19</v>
      </c>
      <c r="L99">
        <v>61.69</v>
      </c>
      <c r="M99">
        <v>-34.409999999999997</v>
      </c>
      <c r="N99">
        <v>76.63</v>
      </c>
      <c r="O99">
        <v>-1.1599999999999999</v>
      </c>
      <c r="P99">
        <v>-10.26</v>
      </c>
      <c r="Q99">
        <v>-3.12</v>
      </c>
      <c r="R99">
        <v>25.38</v>
      </c>
      <c r="S99">
        <v>101.24</v>
      </c>
      <c r="T99">
        <v>72.25</v>
      </c>
      <c r="U99">
        <v>62.88</v>
      </c>
      <c r="V99">
        <v>-9.76</v>
      </c>
      <c r="W99">
        <v>9.1999999999999993</v>
      </c>
      <c r="X99">
        <v>127.41</v>
      </c>
      <c r="Y99">
        <v>11.16</v>
      </c>
      <c r="Z99">
        <v>5.0999999999999996</v>
      </c>
      <c r="AA99">
        <v>-7.32</v>
      </c>
      <c r="AB99">
        <v>0.99</v>
      </c>
      <c r="AC99">
        <v>-23.28</v>
      </c>
      <c r="AD99">
        <v>-53.2</v>
      </c>
      <c r="AE99">
        <v>-32.46</v>
      </c>
      <c r="AF99">
        <v>-9.32</v>
      </c>
      <c r="AG99">
        <v>-37.54</v>
      </c>
      <c r="AH99">
        <v>109.82</v>
      </c>
      <c r="AI99">
        <v>98.54</v>
      </c>
      <c r="AJ99">
        <v>6.4</v>
      </c>
      <c r="AK99">
        <v>-31.23</v>
      </c>
      <c r="AL99">
        <v>-20.239999999999998</v>
      </c>
      <c r="AM99">
        <v>5.75</v>
      </c>
      <c r="AN99">
        <v>12.5</v>
      </c>
      <c r="AO99">
        <v>-8.5299999999999994</v>
      </c>
      <c r="AP99">
        <v>-7.12</v>
      </c>
      <c r="AQ99">
        <v>103.18</v>
      </c>
      <c r="AR99">
        <v>16.91</v>
      </c>
      <c r="AS99">
        <v>71.67</v>
      </c>
      <c r="AT99">
        <v>97.03</v>
      </c>
      <c r="AU99">
        <v>-11.52</v>
      </c>
      <c r="AV99">
        <v>-44.31</v>
      </c>
      <c r="AW99">
        <v>-7.14</v>
      </c>
      <c r="AX99">
        <v>107.48</v>
      </c>
      <c r="AY99">
        <v>1.95</v>
      </c>
      <c r="AZ99">
        <v>-3.09</v>
      </c>
      <c r="BA99">
        <v>79.099999999999994</v>
      </c>
      <c r="BB99">
        <v>70.900000000000006</v>
      </c>
      <c r="BC99">
        <v>-8.84</v>
      </c>
      <c r="BD99">
        <v>-10.27</v>
      </c>
      <c r="BE99">
        <v>-26.2</v>
      </c>
      <c r="BF99">
        <v>-17.190000000000001</v>
      </c>
      <c r="BG99">
        <v>-31.69</v>
      </c>
      <c r="BH99">
        <v>-19.809999999999999</v>
      </c>
      <c r="BI99">
        <v>90.92</v>
      </c>
      <c r="BJ99">
        <v>-12.88</v>
      </c>
      <c r="BK99">
        <v>79.209999999999994</v>
      </c>
      <c r="BL99">
        <v>-11.96</v>
      </c>
      <c r="BM99">
        <v>28.98</v>
      </c>
      <c r="BN99">
        <v>12.77</v>
      </c>
      <c r="BO99">
        <v>34.619999999999997</v>
      </c>
    </row>
    <row r="100" spans="1:67">
      <c r="A100" s="19">
        <v>46113</v>
      </c>
      <c r="B100">
        <v>62.1</v>
      </c>
      <c r="C100">
        <v>-34.67</v>
      </c>
      <c r="D100">
        <v>36.33</v>
      </c>
      <c r="E100">
        <v>53.23</v>
      </c>
      <c r="F100">
        <v>10.98</v>
      </c>
      <c r="G100">
        <v>12.82</v>
      </c>
      <c r="H100">
        <v>4.99</v>
      </c>
      <c r="I100">
        <v>16.739999999999998</v>
      </c>
      <c r="J100">
        <v>80.41</v>
      </c>
      <c r="K100">
        <v>-12.2</v>
      </c>
      <c r="L100">
        <v>63.12</v>
      </c>
      <c r="M100">
        <v>-32.94</v>
      </c>
      <c r="N100">
        <v>74.209999999999994</v>
      </c>
      <c r="O100">
        <v>-1.02</v>
      </c>
      <c r="P100">
        <v>-9.9499999999999993</v>
      </c>
      <c r="Q100">
        <v>-2.42</v>
      </c>
      <c r="R100">
        <v>26.8</v>
      </c>
      <c r="S100">
        <v>101.61</v>
      </c>
      <c r="T100">
        <v>69.62</v>
      </c>
      <c r="U100">
        <v>63.63</v>
      </c>
      <c r="V100">
        <v>-9.02</v>
      </c>
      <c r="W100">
        <v>9.69</v>
      </c>
      <c r="X100">
        <v>131.51</v>
      </c>
      <c r="Y100">
        <v>11.34</v>
      </c>
      <c r="Z100">
        <v>5.03</v>
      </c>
      <c r="AA100">
        <v>-6.94</v>
      </c>
      <c r="AB100">
        <v>1.54</v>
      </c>
      <c r="AC100">
        <v>-24.07</v>
      </c>
      <c r="AD100">
        <v>-51.2</v>
      </c>
      <c r="AE100">
        <v>-30.47</v>
      </c>
      <c r="AF100">
        <v>-8.7899999999999991</v>
      </c>
      <c r="AG100">
        <v>-35.5</v>
      </c>
      <c r="AH100">
        <v>111.7</v>
      </c>
      <c r="AI100">
        <v>92.52</v>
      </c>
      <c r="AJ100">
        <v>6.62</v>
      </c>
      <c r="AK100">
        <v>-30.17</v>
      </c>
      <c r="AL100">
        <v>-19.79</v>
      </c>
      <c r="AM100">
        <v>5.68</v>
      </c>
      <c r="AN100">
        <v>12.6</v>
      </c>
      <c r="AO100">
        <v>-8.2200000000000006</v>
      </c>
      <c r="AP100">
        <v>-2.33</v>
      </c>
      <c r="AQ100">
        <v>97.96</v>
      </c>
      <c r="AR100">
        <v>16.420000000000002</v>
      </c>
      <c r="AS100">
        <v>73.47</v>
      </c>
      <c r="AT100">
        <v>98.87</v>
      </c>
      <c r="AU100">
        <v>-10.76</v>
      </c>
      <c r="AV100">
        <v>-44.41</v>
      </c>
      <c r="AW100">
        <v>-6.57</v>
      </c>
      <c r="AX100">
        <v>104.74</v>
      </c>
      <c r="AY100">
        <v>2.25</v>
      </c>
      <c r="AZ100">
        <v>-2.33</v>
      </c>
      <c r="BA100">
        <v>75.14</v>
      </c>
      <c r="BB100">
        <v>72.86</v>
      </c>
      <c r="BC100">
        <v>-8.1</v>
      </c>
      <c r="BD100">
        <v>-9.48</v>
      </c>
      <c r="BE100">
        <v>-24.73</v>
      </c>
      <c r="BF100">
        <v>-16.510000000000002</v>
      </c>
      <c r="BG100">
        <v>-32.049999999999997</v>
      </c>
      <c r="BH100">
        <v>-18.64</v>
      </c>
      <c r="BI100">
        <v>93.1</v>
      </c>
      <c r="BJ100">
        <v>-13.03</v>
      </c>
      <c r="BK100">
        <v>80.040000000000006</v>
      </c>
      <c r="BL100">
        <v>-12.1</v>
      </c>
      <c r="BM100">
        <v>29.67</v>
      </c>
      <c r="BN100">
        <v>13.05</v>
      </c>
      <c r="BO100">
        <v>35.200000000000003</v>
      </c>
    </row>
    <row r="101" spans="1:67">
      <c r="A101" s="19">
        <v>46114</v>
      </c>
      <c r="B101">
        <v>60.19</v>
      </c>
      <c r="C101">
        <v>-31.08</v>
      </c>
      <c r="D101">
        <v>36.99</v>
      </c>
      <c r="E101">
        <v>53.42</v>
      </c>
      <c r="F101">
        <v>12.45</v>
      </c>
      <c r="G101">
        <v>13.15</v>
      </c>
      <c r="H101">
        <v>5.47</v>
      </c>
      <c r="I101">
        <v>17.61</v>
      </c>
      <c r="J101">
        <v>73.349999999999994</v>
      </c>
      <c r="K101">
        <v>-12.19</v>
      </c>
      <c r="L101">
        <v>62.12</v>
      </c>
      <c r="M101">
        <v>-33.6</v>
      </c>
      <c r="N101">
        <v>74.66</v>
      </c>
      <c r="O101">
        <v>-1.49</v>
      </c>
      <c r="P101">
        <v>-10.14</v>
      </c>
      <c r="Q101">
        <v>-2.92</v>
      </c>
      <c r="R101">
        <v>25.34</v>
      </c>
      <c r="S101">
        <v>99.66</v>
      </c>
      <c r="T101">
        <v>70.58</v>
      </c>
      <c r="U101">
        <v>62.68</v>
      </c>
      <c r="V101">
        <v>-9.42</v>
      </c>
      <c r="W101">
        <v>9.2799999999999994</v>
      </c>
      <c r="X101">
        <v>125.47</v>
      </c>
      <c r="Y101">
        <v>10.68</v>
      </c>
      <c r="Z101">
        <v>5.07</v>
      </c>
      <c r="AA101">
        <v>-7.19</v>
      </c>
      <c r="AB101">
        <v>0.81</v>
      </c>
      <c r="AC101">
        <v>-22.45</v>
      </c>
      <c r="AD101">
        <v>-51.75</v>
      </c>
      <c r="AE101">
        <v>-31.69</v>
      </c>
      <c r="AF101">
        <v>-9.41</v>
      </c>
      <c r="AG101">
        <v>-36.68</v>
      </c>
      <c r="AH101">
        <v>107.08</v>
      </c>
      <c r="AI101">
        <v>95.59</v>
      </c>
      <c r="AJ101">
        <v>6.21</v>
      </c>
      <c r="AK101">
        <v>-30.89</v>
      </c>
      <c r="AL101">
        <v>-20.12</v>
      </c>
      <c r="AM101">
        <v>5.64</v>
      </c>
      <c r="AN101">
        <v>12.69</v>
      </c>
      <c r="AO101">
        <v>-8.36</v>
      </c>
      <c r="AP101">
        <v>-12.49</v>
      </c>
      <c r="AQ101">
        <v>101.25</v>
      </c>
      <c r="AR101">
        <v>16.27</v>
      </c>
      <c r="AS101">
        <v>68.989999999999995</v>
      </c>
      <c r="AT101">
        <v>97.44</v>
      </c>
      <c r="AU101">
        <v>-11.35</v>
      </c>
      <c r="AV101">
        <v>-43.78</v>
      </c>
      <c r="AW101">
        <v>-6.9</v>
      </c>
      <c r="AX101">
        <v>106.06</v>
      </c>
      <c r="AY101">
        <v>2.14</v>
      </c>
      <c r="AZ101">
        <v>-2.79</v>
      </c>
      <c r="BA101">
        <v>77.8</v>
      </c>
      <c r="BB101">
        <v>68.55</v>
      </c>
      <c r="BC101">
        <v>-8.48</v>
      </c>
      <c r="BD101">
        <v>-9.86</v>
      </c>
      <c r="BE101">
        <v>-25.54</v>
      </c>
      <c r="BF101">
        <v>-17.23</v>
      </c>
      <c r="BG101">
        <v>-31.63</v>
      </c>
      <c r="BH101">
        <v>-19.239999999999998</v>
      </c>
      <c r="BI101">
        <v>90.77</v>
      </c>
      <c r="BJ101">
        <v>-13.31</v>
      </c>
      <c r="BK101">
        <v>78.83</v>
      </c>
      <c r="BL101">
        <v>-12.01</v>
      </c>
      <c r="BM101">
        <v>29.05</v>
      </c>
      <c r="BN101">
        <v>12.87</v>
      </c>
      <c r="BO101">
        <v>34.659999999999997</v>
      </c>
    </row>
    <row r="102" spans="1:67">
      <c r="A102" s="19">
        <v>46115</v>
      </c>
      <c r="B102">
        <v>60.19</v>
      </c>
      <c r="C102">
        <v>-31.26</v>
      </c>
      <c r="D102">
        <v>36.97</v>
      </c>
      <c r="E102">
        <v>53.42</v>
      </c>
      <c r="F102">
        <v>12.45</v>
      </c>
      <c r="G102">
        <v>13.12</v>
      </c>
      <c r="H102">
        <v>5.47</v>
      </c>
      <c r="I102">
        <v>17.61</v>
      </c>
      <c r="J102">
        <v>73.260000000000005</v>
      </c>
      <c r="K102">
        <v>-12.19</v>
      </c>
      <c r="L102">
        <v>62.09</v>
      </c>
      <c r="M102">
        <v>-33.56</v>
      </c>
      <c r="N102">
        <v>74.61</v>
      </c>
      <c r="O102">
        <v>-1.48</v>
      </c>
      <c r="P102">
        <v>-10.14</v>
      </c>
      <c r="Q102">
        <v>-2.92</v>
      </c>
      <c r="R102">
        <v>25.34</v>
      </c>
      <c r="S102">
        <v>99.66</v>
      </c>
      <c r="T102">
        <v>70.53</v>
      </c>
      <c r="U102">
        <v>62.67</v>
      </c>
      <c r="V102">
        <v>-9.41</v>
      </c>
      <c r="W102">
        <v>9.2799999999999994</v>
      </c>
      <c r="X102">
        <v>125.47</v>
      </c>
      <c r="Y102">
        <v>10.74</v>
      </c>
      <c r="Z102">
        <v>5.07</v>
      </c>
      <c r="AA102">
        <v>-7.19</v>
      </c>
      <c r="AB102">
        <v>0.85</v>
      </c>
      <c r="AC102">
        <v>-22.45</v>
      </c>
      <c r="AD102">
        <v>-51.71</v>
      </c>
      <c r="AE102">
        <v>-31.65</v>
      </c>
      <c r="AF102">
        <v>-9.39</v>
      </c>
      <c r="AG102">
        <v>-36.64</v>
      </c>
      <c r="AH102">
        <v>107.08</v>
      </c>
      <c r="AI102">
        <v>95.48</v>
      </c>
      <c r="AJ102">
        <v>6.21</v>
      </c>
      <c r="AK102">
        <v>-30.88</v>
      </c>
      <c r="AL102">
        <v>-20.11</v>
      </c>
      <c r="AM102">
        <v>5.6</v>
      </c>
      <c r="AN102">
        <v>12.69</v>
      </c>
      <c r="AO102">
        <v>-8.31</v>
      </c>
      <c r="AP102">
        <v>-12.5</v>
      </c>
      <c r="AQ102">
        <v>101.19</v>
      </c>
      <c r="AR102">
        <v>16.27</v>
      </c>
      <c r="AS102">
        <v>68.98</v>
      </c>
      <c r="AT102">
        <v>97.38</v>
      </c>
      <c r="AU102">
        <v>-11.35</v>
      </c>
      <c r="AV102">
        <v>-43.83</v>
      </c>
      <c r="AW102">
        <v>-6.89</v>
      </c>
      <c r="AX102">
        <v>106.05</v>
      </c>
      <c r="AY102">
        <v>2.15</v>
      </c>
      <c r="AZ102">
        <v>-2.78</v>
      </c>
      <c r="BA102">
        <v>77.739999999999995</v>
      </c>
      <c r="BB102">
        <v>68.55</v>
      </c>
      <c r="BC102">
        <v>-8.4700000000000006</v>
      </c>
      <c r="BD102">
        <v>-9.85</v>
      </c>
      <c r="BE102">
        <v>-25.52</v>
      </c>
      <c r="BF102">
        <v>-17.23</v>
      </c>
      <c r="BG102">
        <v>-31.63</v>
      </c>
      <c r="BH102">
        <v>-19.22</v>
      </c>
      <c r="BI102">
        <v>90.75</v>
      </c>
      <c r="BJ102">
        <v>-13.31</v>
      </c>
      <c r="BK102">
        <v>78.819999999999993</v>
      </c>
      <c r="BL102">
        <v>-12.01</v>
      </c>
      <c r="BM102">
        <v>29.06</v>
      </c>
      <c r="BN102">
        <v>12.87</v>
      </c>
      <c r="BO102">
        <v>34.68</v>
      </c>
    </row>
    <row r="103" spans="1:67">
      <c r="A103" s="19">
        <v>46118</v>
      </c>
      <c r="B103">
        <v>60.25</v>
      </c>
      <c r="C103">
        <v>-30.8</v>
      </c>
      <c r="D103">
        <v>36.81</v>
      </c>
      <c r="E103">
        <v>53.48</v>
      </c>
      <c r="F103">
        <v>12.47</v>
      </c>
      <c r="G103">
        <v>13.24</v>
      </c>
      <c r="H103">
        <v>5.4</v>
      </c>
      <c r="I103">
        <v>17.59</v>
      </c>
      <c r="J103">
        <v>73.25</v>
      </c>
      <c r="K103">
        <v>-12.19</v>
      </c>
      <c r="L103">
        <v>62.01</v>
      </c>
      <c r="M103">
        <v>-33.69</v>
      </c>
      <c r="N103">
        <v>74.849999999999994</v>
      </c>
      <c r="O103">
        <v>-1.5</v>
      </c>
      <c r="P103">
        <v>-10.17</v>
      </c>
      <c r="Q103">
        <v>-2.86</v>
      </c>
      <c r="R103">
        <v>25.25</v>
      </c>
      <c r="S103">
        <v>99.86</v>
      </c>
      <c r="T103">
        <v>70.78</v>
      </c>
      <c r="U103">
        <v>62.68</v>
      </c>
      <c r="V103">
        <v>-9.4499999999999993</v>
      </c>
      <c r="W103">
        <v>9.3000000000000007</v>
      </c>
      <c r="X103">
        <v>125.33</v>
      </c>
      <c r="Y103">
        <v>10.83</v>
      </c>
      <c r="Z103">
        <v>5.0599999999999996</v>
      </c>
      <c r="AA103">
        <v>-7.21</v>
      </c>
      <c r="AB103">
        <v>0.8</v>
      </c>
      <c r="AC103">
        <v>-22.4</v>
      </c>
      <c r="AD103">
        <v>-51.87</v>
      </c>
      <c r="AE103">
        <v>-31.74</v>
      </c>
      <c r="AF103">
        <v>-9.36</v>
      </c>
      <c r="AG103">
        <v>-36.74</v>
      </c>
      <c r="AH103">
        <v>107.29</v>
      </c>
      <c r="AI103">
        <v>95.88</v>
      </c>
      <c r="AJ103">
        <v>6.16</v>
      </c>
      <c r="AK103">
        <v>-30.91</v>
      </c>
      <c r="AL103">
        <v>-20.100000000000001</v>
      </c>
      <c r="AM103">
        <v>5.51</v>
      </c>
      <c r="AN103">
        <v>12.71</v>
      </c>
      <c r="AO103">
        <v>-8.35</v>
      </c>
      <c r="AP103">
        <v>-12.64</v>
      </c>
      <c r="AQ103">
        <v>101.41</v>
      </c>
      <c r="AR103">
        <v>16.149999999999999</v>
      </c>
      <c r="AS103">
        <v>68.97</v>
      </c>
      <c r="AT103">
        <v>97.39</v>
      </c>
      <c r="AU103">
        <v>-11.35</v>
      </c>
      <c r="AV103">
        <v>-43.94</v>
      </c>
      <c r="AW103">
        <v>-6.94</v>
      </c>
      <c r="AX103">
        <v>106.15</v>
      </c>
      <c r="AY103">
        <v>2.1</v>
      </c>
      <c r="AZ103">
        <v>-2.84</v>
      </c>
      <c r="BA103">
        <v>78.010000000000005</v>
      </c>
      <c r="BB103">
        <v>68.569999999999993</v>
      </c>
      <c r="BC103">
        <v>-8.5299999999999994</v>
      </c>
      <c r="BD103">
        <v>-9.89</v>
      </c>
      <c r="BE103">
        <v>-25.59</v>
      </c>
      <c r="BF103">
        <v>-17.239999999999998</v>
      </c>
      <c r="BG103">
        <v>-31.64</v>
      </c>
      <c r="BH103">
        <v>-19.28</v>
      </c>
      <c r="BI103">
        <v>90.8</v>
      </c>
      <c r="BJ103">
        <v>-13.43</v>
      </c>
      <c r="BK103">
        <v>78.92</v>
      </c>
      <c r="BL103">
        <v>-11.98</v>
      </c>
      <c r="BM103">
        <v>28.73</v>
      </c>
      <c r="BN103">
        <v>12.87</v>
      </c>
      <c r="BO103">
        <v>34.58</v>
      </c>
    </row>
    <row r="104" spans="1:67">
      <c r="A104" s="19">
        <v>46119</v>
      </c>
      <c r="B104">
        <v>63.99</v>
      </c>
      <c r="C104">
        <v>-32.94</v>
      </c>
      <c r="D104">
        <v>36.58</v>
      </c>
      <c r="E104">
        <v>53.76</v>
      </c>
      <c r="F104">
        <v>10.44</v>
      </c>
      <c r="G104">
        <v>12.51</v>
      </c>
      <c r="H104">
        <v>5.41</v>
      </c>
      <c r="I104">
        <v>17.48</v>
      </c>
      <c r="J104">
        <v>80.27</v>
      </c>
      <c r="K104">
        <v>-12.22</v>
      </c>
      <c r="L104">
        <v>61.96</v>
      </c>
      <c r="M104">
        <v>-33.229999999999997</v>
      </c>
      <c r="N104">
        <v>73.819999999999993</v>
      </c>
      <c r="O104">
        <v>-1.63</v>
      </c>
      <c r="P104">
        <v>-10.23</v>
      </c>
      <c r="Q104">
        <v>-3.28</v>
      </c>
      <c r="R104">
        <v>25.2</v>
      </c>
      <c r="S104">
        <v>106.15</v>
      </c>
      <c r="T104">
        <v>69.62</v>
      </c>
      <c r="U104">
        <v>63.42</v>
      </c>
      <c r="V104">
        <v>-9.49</v>
      </c>
      <c r="W104">
        <v>9.14</v>
      </c>
      <c r="X104">
        <v>126.97</v>
      </c>
      <c r="Y104">
        <v>10.33</v>
      </c>
      <c r="Z104">
        <v>5.05</v>
      </c>
      <c r="AA104">
        <v>-7.34</v>
      </c>
      <c r="AB104">
        <v>1.1000000000000001</v>
      </c>
      <c r="AC104">
        <v>-23.61</v>
      </c>
      <c r="AD104">
        <v>-51.26</v>
      </c>
      <c r="AE104">
        <v>-31.44</v>
      </c>
      <c r="AF104">
        <v>-9.68</v>
      </c>
      <c r="AG104">
        <v>-36.340000000000003</v>
      </c>
      <c r="AH104">
        <v>114.49</v>
      </c>
      <c r="AI104">
        <v>94.13</v>
      </c>
      <c r="AJ104">
        <v>6.16</v>
      </c>
      <c r="AK104">
        <v>-30.73</v>
      </c>
      <c r="AL104">
        <v>-20.350000000000001</v>
      </c>
      <c r="AM104">
        <v>5.94</v>
      </c>
      <c r="AN104">
        <v>12.72</v>
      </c>
      <c r="AO104">
        <v>-8.17</v>
      </c>
      <c r="AP104">
        <v>-2.63</v>
      </c>
      <c r="AQ104">
        <v>102.96</v>
      </c>
      <c r="AR104">
        <v>15.87</v>
      </c>
      <c r="AS104">
        <v>74.58</v>
      </c>
      <c r="AT104">
        <v>97.39</v>
      </c>
      <c r="AU104">
        <v>-11.26</v>
      </c>
      <c r="AV104">
        <v>-45.47</v>
      </c>
      <c r="AW104">
        <v>-6.81</v>
      </c>
      <c r="AX104">
        <v>111.96</v>
      </c>
      <c r="AY104">
        <v>2.2599999999999998</v>
      </c>
      <c r="AZ104">
        <v>-2.72</v>
      </c>
      <c r="BA104">
        <v>77.47</v>
      </c>
      <c r="BB104">
        <v>73.34</v>
      </c>
      <c r="BC104">
        <v>-8.34</v>
      </c>
      <c r="BD104">
        <v>-9.67</v>
      </c>
      <c r="BE104">
        <v>-25.24</v>
      </c>
      <c r="BF104">
        <v>-17.350000000000001</v>
      </c>
      <c r="BG104">
        <v>-31.68</v>
      </c>
      <c r="BH104">
        <v>-19.05</v>
      </c>
      <c r="BI104">
        <v>90.55</v>
      </c>
      <c r="BJ104">
        <v>-13.75</v>
      </c>
      <c r="BK104">
        <v>78.11</v>
      </c>
      <c r="BL104">
        <v>-11.92</v>
      </c>
      <c r="BM104">
        <v>28.66</v>
      </c>
      <c r="BN104">
        <v>12.86</v>
      </c>
      <c r="BO104">
        <v>33.74</v>
      </c>
    </row>
    <row r="105" spans="1:67">
      <c r="A105" s="19">
        <v>46120</v>
      </c>
      <c r="B105">
        <v>61.86</v>
      </c>
      <c r="C105">
        <v>-34.42</v>
      </c>
      <c r="D105">
        <v>36.380000000000003</v>
      </c>
      <c r="E105">
        <v>51.8</v>
      </c>
      <c r="F105">
        <v>9.7200000000000006</v>
      </c>
      <c r="G105">
        <v>12.64</v>
      </c>
      <c r="H105">
        <v>4.68</v>
      </c>
      <c r="I105">
        <v>15.74</v>
      </c>
      <c r="J105">
        <v>81.72</v>
      </c>
      <c r="K105">
        <v>-12.17</v>
      </c>
      <c r="L105">
        <v>64.39</v>
      </c>
      <c r="M105">
        <v>-32.69</v>
      </c>
      <c r="N105">
        <v>73.5</v>
      </c>
      <c r="O105">
        <v>-0.87</v>
      </c>
      <c r="P105">
        <v>-9.84</v>
      </c>
      <c r="Q105">
        <v>-2.14</v>
      </c>
      <c r="R105">
        <v>27.14</v>
      </c>
      <c r="S105">
        <v>100.7</v>
      </c>
      <c r="T105">
        <v>69.430000000000007</v>
      </c>
      <c r="U105">
        <v>63.86</v>
      </c>
      <c r="V105">
        <v>-8.86</v>
      </c>
      <c r="W105">
        <v>9.74</v>
      </c>
      <c r="X105">
        <v>132.21</v>
      </c>
      <c r="Y105">
        <v>11.16</v>
      </c>
      <c r="Z105">
        <v>5.07</v>
      </c>
      <c r="AA105">
        <v>-6.78</v>
      </c>
      <c r="AB105">
        <v>1.22</v>
      </c>
      <c r="AC105">
        <v>-24.29</v>
      </c>
      <c r="AD105">
        <v>-50.94</v>
      </c>
      <c r="AE105">
        <v>-29.79</v>
      </c>
      <c r="AF105">
        <v>-8.1</v>
      </c>
      <c r="AG105">
        <v>-34.93</v>
      </c>
      <c r="AH105">
        <v>111.21</v>
      </c>
      <c r="AI105">
        <v>92.32</v>
      </c>
      <c r="AJ105">
        <v>7</v>
      </c>
      <c r="AK105">
        <v>-29.58</v>
      </c>
      <c r="AL105">
        <v>-19.420000000000002</v>
      </c>
      <c r="AM105">
        <v>5.15</v>
      </c>
      <c r="AN105">
        <v>12.71</v>
      </c>
      <c r="AO105">
        <v>-8.35</v>
      </c>
      <c r="AP105">
        <v>-1.1000000000000001</v>
      </c>
      <c r="AQ105">
        <v>96.24</v>
      </c>
      <c r="AR105">
        <v>16.8</v>
      </c>
      <c r="AS105">
        <v>73.62</v>
      </c>
      <c r="AT105">
        <v>99.57</v>
      </c>
      <c r="AU105">
        <v>-10.39</v>
      </c>
      <c r="AV105">
        <v>-43.77</v>
      </c>
      <c r="AW105">
        <v>-6.47</v>
      </c>
      <c r="AX105">
        <v>102.16</v>
      </c>
      <c r="AY105">
        <v>2.13</v>
      </c>
      <c r="AZ105">
        <v>-1.95</v>
      </c>
      <c r="BA105">
        <v>74.08</v>
      </c>
      <c r="BB105">
        <v>73.3</v>
      </c>
      <c r="BC105">
        <v>-8.1199999999999992</v>
      </c>
      <c r="BD105">
        <v>-9.39</v>
      </c>
      <c r="BE105">
        <v>-24.46</v>
      </c>
      <c r="BF105">
        <v>-16.04</v>
      </c>
      <c r="BG105">
        <v>-31.91</v>
      </c>
      <c r="BH105">
        <v>-18.309999999999999</v>
      </c>
      <c r="BI105">
        <v>93.07</v>
      </c>
      <c r="BJ105">
        <v>-13.19</v>
      </c>
      <c r="BK105">
        <v>79.84</v>
      </c>
      <c r="BL105">
        <v>-12.26</v>
      </c>
      <c r="BM105">
        <v>29.53</v>
      </c>
      <c r="BN105">
        <v>13.18</v>
      </c>
      <c r="BO105">
        <v>35.979999999999997</v>
      </c>
    </row>
    <row r="106" spans="1:67">
      <c r="A106" s="19">
        <v>46121</v>
      </c>
      <c r="B106">
        <v>57.34</v>
      </c>
      <c r="C106">
        <v>-35.15</v>
      </c>
      <c r="D106">
        <v>36.340000000000003</v>
      </c>
      <c r="E106">
        <v>51.58</v>
      </c>
      <c r="F106">
        <v>12.07</v>
      </c>
      <c r="G106">
        <v>12.37</v>
      </c>
      <c r="H106">
        <v>4.8099999999999996</v>
      </c>
      <c r="I106">
        <v>15.93</v>
      </c>
      <c r="J106">
        <v>72.5</v>
      </c>
      <c r="K106">
        <v>-12.19</v>
      </c>
      <c r="L106">
        <v>64.239999999999995</v>
      </c>
      <c r="M106">
        <v>-32.54</v>
      </c>
      <c r="N106">
        <v>73.3</v>
      </c>
      <c r="O106">
        <v>-0.8</v>
      </c>
      <c r="P106">
        <v>-9.82</v>
      </c>
      <c r="Q106">
        <v>-2.21</v>
      </c>
      <c r="R106">
        <v>27.4</v>
      </c>
      <c r="S106">
        <v>94.82</v>
      </c>
      <c r="T106">
        <v>69.25</v>
      </c>
      <c r="U106">
        <v>63.31</v>
      </c>
      <c r="V106">
        <v>-8.84</v>
      </c>
      <c r="W106">
        <v>9.8000000000000007</v>
      </c>
      <c r="X106">
        <v>130.28</v>
      </c>
      <c r="Y106">
        <v>11.03</v>
      </c>
      <c r="Z106">
        <v>5.0599999999999996</v>
      </c>
      <c r="AA106">
        <v>-6.81</v>
      </c>
      <c r="AB106">
        <v>1.25</v>
      </c>
      <c r="AC106">
        <v>-22.68</v>
      </c>
      <c r="AD106">
        <v>-50.93</v>
      </c>
      <c r="AE106">
        <v>-29.66</v>
      </c>
      <c r="AF106">
        <v>-8.01</v>
      </c>
      <c r="AG106">
        <v>-34.76</v>
      </c>
      <c r="AH106">
        <v>101.64</v>
      </c>
      <c r="AI106">
        <v>91.68</v>
      </c>
      <c r="AJ106">
        <v>6.94</v>
      </c>
      <c r="AK106">
        <v>-29.53</v>
      </c>
      <c r="AL106">
        <v>-19.5</v>
      </c>
      <c r="AM106">
        <v>5.66</v>
      </c>
      <c r="AN106">
        <v>12.89</v>
      </c>
      <c r="AO106">
        <v>-8.2799999999999994</v>
      </c>
      <c r="AP106">
        <v>-13.18</v>
      </c>
      <c r="AQ106">
        <v>96.27</v>
      </c>
      <c r="AR106">
        <v>16.78</v>
      </c>
      <c r="AS106">
        <v>67.290000000000006</v>
      </c>
      <c r="AT106">
        <v>99.8</v>
      </c>
      <c r="AU106">
        <v>-10.31</v>
      </c>
      <c r="AV106">
        <v>-42.15</v>
      </c>
      <c r="AW106">
        <v>-6.35</v>
      </c>
      <c r="AX106">
        <v>100.54</v>
      </c>
      <c r="AY106">
        <v>2.16</v>
      </c>
      <c r="AZ106">
        <v>-1.94</v>
      </c>
      <c r="BA106">
        <v>73.81</v>
      </c>
      <c r="BB106">
        <v>67.03</v>
      </c>
      <c r="BC106">
        <v>-8.08</v>
      </c>
      <c r="BD106">
        <v>-9.34</v>
      </c>
      <c r="BE106">
        <v>-24.42</v>
      </c>
      <c r="BF106">
        <v>-16.55</v>
      </c>
      <c r="BG106">
        <v>-32.03</v>
      </c>
      <c r="BH106">
        <v>-18.25</v>
      </c>
      <c r="BI106">
        <v>93.69</v>
      </c>
      <c r="BJ106">
        <v>-13.42</v>
      </c>
      <c r="BK106">
        <v>80.05</v>
      </c>
      <c r="BL106">
        <v>-12.28</v>
      </c>
      <c r="BM106">
        <v>29.99</v>
      </c>
      <c r="BN106">
        <v>13.19</v>
      </c>
      <c r="BO106">
        <v>36.96</v>
      </c>
    </row>
    <row r="107" spans="1:67">
      <c r="A107" s="19">
        <v>46122</v>
      </c>
      <c r="B107">
        <v>57.26</v>
      </c>
      <c r="C107">
        <v>-36.42</v>
      </c>
      <c r="D107">
        <v>36.020000000000003</v>
      </c>
      <c r="E107">
        <v>51.03</v>
      </c>
      <c r="F107">
        <v>12.89</v>
      </c>
      <c r="G107">
        <v>12.5</v>
      </c>
      <c r="H107">
        <v>4.8600000000000003</v>
      </c>
      <c r="I107">
        <v>15.86</v>
      </c>
      <c r="J107">
        <v>73.11</v>
      </c>
      <c r="K107">
        <v>-12.13</v>
      </c>
      <c r="L107">
        <v>65.14</v>
      </c>
      <c r="M107">
        <v>-32.39</v>
      </c>
      <c r="N107">
        <v>72.87</v>
      </c>
      <c r="O107">
        <v>-0.78</v>
      </c>
      <c r="P107">
        <v>-9.7200000000000006</v>
      </c>
      <c r="Q107">
        <v>-1.77</v>
      </c>
      <c r="R107">
        <v>27.34</v>
      </c>
      <c r="S107">
        <v>93.52</v>
      </c>
      <c r="T107">
        <v>69.22</v>
      </c>
      <c r="U107">
        <v>63.12</v>
      </c>
      <c r="V107">
        <v>-8.6199999999999992</v>
      </c>
      <c r="W107">
        <v>9.8800000000000008</v>
      </c>
      <c r="X107">
        <v>130.02000000000001</v>
      </c>
      <c r="Y107">
        <v>11.22</v>
      </c>
      <c r="Z107">
        <v>5.0999999999999996</v>
      </c>
      <c r="AA107">
        <v>-6.65</v>
      </c>
      <c r="AB107">
        <v>1.1499999999999999</v>
      </c>
      <c r="AC107">
        <v>-22.7</v>
      </c>
      <c r="AD107">
        <v>-50.46</v>
      </c>
      <c r="AE107">
        <v>-29.33</v>
      </c>
      <c r="AF107">
        <v>-7.82</v>
      </c>
      <c r="AG107">
        <v>-34.450000000000003</v>
      </c>
      <c r="AH107">
        <v>101.76</v>
      </c>
      <c r="AI107">
        <v>91.31</v>
      </c>
      <c r="AJ107">
        <v>6.97</v>
      </c>
      <c r="AK107">
        <v>-29.41</v>
      </c>
      <c r="AL107">
        <v>-19.25</v>
      </c>
      <c r="AM107">
        <v>4.88</v>
      </c>
      <c r="AN107">
        <v>12.84</v>
      </c>
      <c r="AO107">
        <v>-8.33</v>
      </c>
      <c r="AP107">
        <v>-13.59</v>
      </c>
      <c r="AQ107">
        <v>93.99</v>
      </c>
      <c r="AR107">
        <v>17.260000000000002</v>
      </c>
      <c r="AS107">
        <v>66.78</v>
      </c>
      <c r="AT107">
        <v>100.35</v>
      </c>
      <c r="AU107">
        <v>-10.220000000000001</v>
      </c>
      <c r="AV107">
        <v>-41.99</v>
      </c>
      <c r="AW107">
        <v>-6.28</v>
      </c>
      <c r="AX107">
        <v>97.23</v>
      </c>
      <c r="AY107">
        <v>2.1800000000000002</v>
      </c>
      <c r="AZ107">
        <v>-1.69</v>
      </c>
      <c r="BA107">
        <v>73.099999999999994</v>
      </c>
      <c r="BB107">
        <v>67.14</v>
      </c>
      <c r="BC107">
        <v>-8</v>
      </c>
      <c r="BD107">
        <v>-9.24</v>
      </c>
      <c r="BE107">
        <v>-24.28</v>
      </c>
      <c r="BF107">
        <v>-16.22</v>
      </c>
      <c r="BG107">
        <v>-31.91</v>
      </c>
      <c r="BH107">
        <v>-18.059999999999999</v>
      </c>
      <c r="BI107">
        <v>93.38</v>
      </c>
      <c r="BJ107">
        <v>-13.32</v>
      </c>
      <c r="BK107">
        <v>80.23</v>
      </c>
      <c r="BL107">
        <v>-12.31</v>
      </c>
      <c r="BM107">
        <v>30.34</v>
      </c>
      <c r="BN107">
        <v>13.22</v>
      </c>
      <c r="BO107">
        <v>36.58</v>
      </c>
    </row>
    <row r="108" spans="1:67">
      <c r="A108" s="19">
        <v>46125</v>
      </c>
      <c r="B108">
        <v>57.29</v>
      </c>
      <c r="C108">
        <v>-34.19</v>
      </c>
      <c r="D108">
        <v>36.119999999999997</v>
      </c>
      <c r="E108">
        <v>52.05</v>
      </c>
      <c r="F108">
        <v>14.63</v>
      </c>
      <c r="G108">
        <v>12.66</v>
      </c>
      <c r="H108">
        <v>5.04</v>
      </c>
      <c r="I108">
        <v>15.93</v>
      </c>
      <c r="J108">
        <v>72.430000000000007</v>
      </c>
      <c r="K108">
        <v>-12.18</v>
      </c>
      <c r="L108">
        <v>65.87</v>
      </c>
      <c r="M108">
        <v>-33.04</v>
      </c>
      <c r="N108">
        <v>73.5</v>
      </c>
      <c r="O108">
        <v>-0.96</v>
      </c>
      <c r="P108">
        <v>-9.93</v>
      </c>
      <c r="Q108">
        <v>-2.15</v>
      </c>
      <c r="R108">
        <v>26.98</v>
      </c>
      <c r="S108">
        <v>94.09</v>
      </c>
      <c r="T108">
        <v>70.06</v>
      </c>
      <c r="U108">
        <v>62.95</v>
      </c>
      <c r="V108">
        <v>-8.91</v>
      </c>
      <c r="W108">
        <v>9.7200000000000006</v>
      </c>
      <c r="X108">
        <v>128.76</v>
      </c>
      <c r="Y108">
        <v>10.95</v>
      </c>
      <c r="Z108">
        <v>5.09</v>
      </c>
      <c r="AA108">
        <v>-6.89</v>
      </c>
      <c r="AB108">
        <v>1.02</v>
      </c>
      <c r="AC108">
        <v>-22.38</v>
      </c>
      <c r="AD108">
        <v>-51.07</v>
      </c>
      <c r="AE108">
        <v>-30.15</v>
      </c>
      <c r="AF108">
        <v>-8.1300000000000008</v>
      </c>
      <c r="AG108">
        <v>-35.299999999999997</v>
      </c>
      <c r="AH108">
        <v>101.41</v>
      </c>
      <c r="AI108">
        <v>93.23</v>
      </c>
      <c r="AJ108">
        <v>6.82</v>
      </c>
      <c r="AK108">
        <v>-29.86</v>
      </c>
      <c r="AL108">
        <v>-19.57</v>
      </c>
      <c r="AM108">
        <v>5.37</v>
      </c>
      <c r="AN108">
        <v>12.88</v>
      </c>
      <c r="AO108">
        <v>-8.39</v>
      </c>
      <c r="AP108">
        <v>-15.37</v>
      </c>
      <c r="AQ108">
        <v>96.42</v>
      </c>
      <c r="AR108">
        <v>17.38</v>
      </c>
      <c r="AS108">
        <v>66.319999999999993</v>
      </c>
      <c r="AT108">
        <v>100.64</v>
      </c>
      <c r="AU108">
        <v>-10.43</v>
      </c>
      <c r="AV108">
        <v>-42.28</v>
      </c>
      <c r="AW108">
        <v>-6.49</v>
      </c>
      <c r="AX108">
        <v>99.54</v>
      </c>
      <c r="AY108">
        <v>2.16</v>
      </c>
      <c r="AZ108">
        <v>-1.87</v>
      </c>
      <c r="BA108">
        <v>74.78</v>
      </c>
      <c r="BB108">
        <v>66.38</v>
      </c>
      <c r="BC108">
        <v>-8.16</v>
      </c>
      <c r="BD108">
        <v>-9.48</v>
      </c>
      <c r="BE108">
        <v>-24.86</v>
      </c>
      <c r="BF108">
        <v>-16.72</v>
      </c>
      <c r="BG108">
        <v>-31.89</v>
      </c>
      <c r="BH108">
        <v>-18.53</v>
      </c>
      <c r="BI108">
        <v>92.86</v>
      </c>
      <c r="BJ108">
        <v>-13.2</v>
      </c>
      <c r="BK108">
        <v>79.97</v>
      </c>
      <c r="BL108">
        <v>-12.27</v>
      </c>
      <c r="BM108">
        <v>29.92</v>
      </c>
      <c r="BN108">
        <v>13.03</v>
      </c>
      <c r="BO108">
        <v>36.58</v>
      </c>
    </row>
    <row r="109" spans="1:67">
      <c r="A109" s="19">
        <v>46126</v>
      </c>
      <c r="B109">
        <v>57.59</v>
      </c>
      <c r="C109">
        <v>-35.36</v>
      </c>
      <c r="D109">
        <v>36.36</v>
      </c>
      <c r="E109">
        <v>51.1</v>
      </c>
      <c r="F109">
        <v>13.02</v>
      </c>
      <c r="G109">
        <v>12.7</v>
      </c>
      <c r="H109">
        <v>4.93</v>
      </c>
      <c r="I109">
        <v>15.53</v>
      </c>
      <c r="J109">
        <v>75.67</v>
      </c>
      <c r="K109">
        <v>-12.19</v>
      </c>
      <c r="L109">
        <v>67.2</v>
      </c>
      <c r="M109">
        <v>-32.86</v>
      </c>
      <c r="N109">
        <v>73.23</v>
      </c>
      <c r="O109">
        <v>-0.79</v>
      </c>
      <c r="P109">
        <v>-9.76</v>
      </c>
      <c r="Q109">
        <v>-1.7</v>
      </c>
      <c r="R109">
        <v>27.84</v>
      </c>
      <c r="S109">
        <v>93.45</v>
      </c>
      <c r="T109">
        <v>70.239999999999995</v>
      </c>
      <c r="U109">
        <v>63.17</v>
      </c>
      <c r="V109">
        <v>-8.65</v>
      </c>
      <c r="W109">
        <v>10.06</v>
      </c>
      <c r="X109">
        <v>132.13</v>
      </c>
      <c r="Y109">
        <v>11.12</v>
      </c>
      <c r="Z109">
        <v>5.0999999999999996</v>
      </c>
      <c r="AA109">
        <v>-6.66</v>
      </c>
      <c r="AB109">
        <v>0.85</v>
      </c>
      <c r="AC109">
        <v>-23.07</v>
      </c>
      <c r="AD109">
        <v>-50.91</v>
      </c>
      <c r="AE109">
        <v>-29.35</v>
      </c>
      <c r="AF109">
        <v>-7.82</v>
      </c>
      <c r="AG109">
        <v>-34.64</v>
      </c>
      <c r="AH109">
        <v>102.85</v>
      </c>
      <c r="AI109">
        <v>92.59</v>
      </c>
      <c r="AJ109">
        <v>6.87</v>
      </c>
      <c r="AK109">
        <v>-29.55</v>
      </c>
      <c r="AL109">
        <v>-19.3</v>
      </c>
      <c r="AM109">
        <v>4.67</v>
      </c>
      <c r="AN109">
        <v>12.83</v>
      </c>
      <c r="AO109">
        <v>-8.58</v>
      </c>
      <c r="AP109">
        <v>-11.68</v>
      </c>
      <c r="AQ109">
        <v>93.67</v>
      </c>
      <c r="AR109">
        <v>17.82</v>
      </c>
      <c r="AS109">
        <v>67.5</v>
      </c>
      <c r="AT109">
        <v>101.93</v>
      </c>
      <c r="AU109">
        <v>-10.11</v>
      </c>
      <c r="AV109">
        <v>-41.92</v>
      </c>
      <c r="AW109">
        <v>-6.29</v>
      </c>
      <c r="AX109">
        <v>96.25</v>
      </c>
      <c r="AY109">
        <v>2.19</v>
      </c>
      <c r="AZ109">
        <v>-1.43</v>
      </c>
      <c r="BA109">
        <v>73.66</v>
      </c>
      <c r="BB109">
        <v>67.900000000000006</v>
      </c>
      <c r="BC109">
        <v>-8.0299999999999994</v>
      </c>
      <c r="BD109">
        <v>-9.35</v>
      </c>
      <c r="BE109">
        <v>-24.5</v>
      </c>
      <c r="BF109">
        <v>-16.27</v>
      </c>
      <c r="BG109">
        <v>-32.130000000000003</v>
      </c>
      <c r="BH109">
        <v>-18.170000000000002</v>
      </c>
      <c r="BI109">
        <v>94.28</v>
      </c>
      <c r="BJ109">
        <v>-12.7</v>
      </c>
      <c r="BK109">
        <v>80.72</v>
      </c>
      <c r="BL109">
        <v>-12.36</v>
      </c>
      <c r="BM109">
        <v>30.92</v>
      </c>
      <c r="BN109">
        <v>13.13</v>
      </c>
      <c r="BO109">
        <v>36.9</v>
      </c>
    </row>
    <row r="110" spans="1:67">
      <c r="A110" s="19">
        <v>46127</v>
      </c>
      <c r="B110">
        <v>56.82</v>
      </c>
      <c r="C110">
        <v>-35.78</v>
      </c>
      <c r="D110">
        <v>36.42</v>
      </c>
      <c r="E110">
        <v>50.65</v>
      </c>
      <c r="F110">
        <v>14.4</v>
      </c>
      <c r="G110">
        <v>12.82</v>
      </c>
      <c r="H110">
        <v>5.0599999999999996</v>
      </c>
      <c r="I110">
        <v>15.55</v>
      </c>
      <c r="J110">
        <v>73.709999999999994</v>
      </c>
      <c r="K110">
        <v>-12.16</v>
      </c>
      <c r="L110">
        <v>67.239999999999995</v>
      </c>
      <c r="M110">
        <v>-32.79</v>
      </c>
      <c r="N110">
        <v>72.78</v>
      </c>
      <c r="O110">
        <v>-0.88</v>
      </c>
      <c r="P110">
        <v>-9.73</v>
      </c>
      <c r="Q110">
        <v>-1.61</v>
      </c>
      <c r="R110">
        <v>27.54</v>
      </c>
      <c r="S110">
        <v>91.74</v>
      </c>
      <c r="T110">
        <v>70.099999999999994</v>
      </c>
      <c r="U110">
        <v>62.79</v>
      </c>
      <c r="V110">
        <v>-8.59</v>
      </c>
      <c r="W110">
        <v>10.119999999999999</v>
      </c>
      <c r="X110">
        <v>130.78</v>
      </c>
      <c r="Y110">
        <v>10.87</v>
      </c>
      <c r="Z110">
        <v>5.14</v>
      </c>
      <c r="AA110">
        <v>-6.61</v>
      </c>
      <c r="AB110">
        <v>0.4</v>
      </c>
      <c r="AC110">
        <v>-22.69</v>
      </c>
      <c r="AD110">
        <v>-50.54</v>
      </c>
      <c r="AE110">
        <v>-29.14</v>
      </c>
      <c r="AF110">
        <v>-7.83</v>
      </c>
      <c r="AG110">
        <v>-34.47</v>
      </c>
      <c r="AH110">
        <v>101.2</v>
      </c>
      <c r="AI110">
        <v>92.52</v>
      </c>
      <c r="AJ110">
        <v>6.86</v>
      </c>
      <c r="AK110">
        <v>-29.53</v>
      </c>
      <c r="AL110">
        <v>-19.29</v>
      </c>
      <c r="AM110">
        <v>3.98</v>
      </c>
      <c r="AN110">
        <v>12.75</v>
      </c>
      <c r="AO110">
        <v>-8.74</v>
      </c>
      <c r="AP110">
        <v>-14.68</v>
      </c>
      <c r="AQ110">
        <v>93.44</v>
      </c>
      <c r="AR110">
        <v>17.670000000000002</v>
      </c>
      <c r="AS110">
        <v>65.930000000000007</v>
      </c>
      <c r="AT110">
        <v>101.71</v>
      </c>
      <c r="AU110">
        <v>-10.1</v>
      </c>
      <c r="AV110">
        <v>-41.27</v>
      </c>
      <c r="AW110">
        <v>-6.31</v>
      </c>
      <c r="AX110">
        <v>94.59</v>
      </c>
      <c r="AY110">
        <v>2.2599999999999998</v>
      </c>
      <c r="AZ110">
        <v>-1.34</v>
      </c>
      <c r="BA110">
        <v>73.66</v>
      </c>
      <c r="BB110">
        <v>66.680000000000007</v>
      </c>
      <c r="BC110">
        <v>-7.99</v>
      </c>
      <c r="BD110">
        <v>-9.3000000000000007</v>
      </c>
      <c r="BE110">
        <v>-24.4</v>
      </c>
      <c r="BF110">
        <v>-16.27</v>
      </c>
      <c r="BG110">
        <v>-32.020000000000003</v>
      </c>
      <c r="BH110">
        <v>-18.04</v>
      </c>
      <c r="BI110">
        <v>93.9</v>
      </c>
      <c r="BJ110">
        <v>-12.36</v>
      </c>
      <c r="BK110">
        <v>80.58</v>
      </c>
      <c r="BL110">
        <v>-12.34</v>
      </c>
      <c r="BM110">
        <v>31.16</v>
      </c>
      <c r="BN110">
        <v>13.14</v>
      </c>
      <c r="BO110">
        <v>36.99</v>
      </c>
    </row>
    <row r="111" spans="1:67">
      <c r="A111" s="19">
        <v>46128</v>
      </c>
      <c r="B111">
        <v>56.74</v>
      </c>
      <c r="C111">
        <v>-34.53</v>
      </c>
      <c r="D111">
        <v>36.5</v>
      </c>
      <c r="E111">
        <v>50.34</v>
      </c>
      <c r="F111">
        <v>15.18</v>
      </c>
      <c r="G111">
        <v>12.89</v>
      </c>
      <c r="H111">
        <v>5.24</v>
      </c>
      <c r="I111">
        <v>16.079999999999998</v>
      </c>
      <c r="J111">
        <v>72.569999999999993</v>
      </c>
      <c r="K111">
        <v>-12.19</v>
      </c>
      <c r="L111">
        <v>67.34</v>
      </c>
      <c r="M111">
        <v>-32.979999999999997</v>
      </c>
      <c r="N111">
        <v>72.88</v>
      </c>
      <c r="O111">
        <v>-1.17</v>
      </c>
      <c r="P111">
        <v>-9.81</v>
      </c>
      <c r="Q111">
        <v>-1.79</v>
      </c>
      <c r="R111">
        <v>27.04</v>
      </c>
      <c r="S111">
        <v>91.94</v>
      </c>
      <c r="T111">
        <v>70.45</v>
      </c>
      <c r="U111">
        <v>62.53</v>
      </c>
      <c r="V111">
        <v>-8.74</v>
      </c>
      <c r="W111">
        <v>10.06</v>
      </c>
      <c r="X111">
        <v>129.09</v>
      </c>
      <c r="Y111">
        <v>10.38</v>
      </c>
      <c r="Z111">
        <v>5.15</v>
      </c>
      <c r="AA111">
        <v>-6.72</v>
      </c>
      <c r="AB111">
        <v>0.08</v>
      </c>
      <c r="AC111">
        <v>-22.32</v>
      </c>
      <c r="AD111">
        <v>-50.64</v>
      </c>
      <c r="AE111">
        <v>-29.16</v>
      </c>
      <c r="AF111">
        <v>-8.3000000000000007</v>
      </c>
      <c r="AG111">
        <v>-34.58</v>
      </c>
      <c r="AH111">
        <v>100.96</v>
      </c>
      <c r="AI111">
        <v>93.65</v>
      </c>
      <c r="AJ111">
        <v>6.68</v>
      </c>
      <c r="AK111">
        <v>-29.76</v>
      </c>
      <c r="AL111">
        <v>-19.47</v>
      </c>
      <c r="AM111">
        <v>2.4300000000000002</v>
      </c>
      <c r="AN111">
        <v>12.71</v>
      </c>
      <c r="AO111">
        <v>-9.0399999999999991</v>
      </c>
      <c r="AP111">
        <v>-16.87</v>
      </c>
      <c r="AQ111">
        <v>94.82</v>
      </c>
      <c r="AR111">
        <v>17.36</v>
      </c>
      <c r="AS111">
        <v>65.180000000000007</v>
      </c>
      <c r="AT111">
        <v>101.44</v>
      </c>
      <c r="AU111">
        <v>-10.220000000000001</v>
      </c>
      <c r="AV111">
        <v>-40.97</v>
      </c>
      <c r="AW111">
        <v>-6.43</v>
      </c>
      <c r="AX111">
        <v>95.65</v>
      </c>
      <c r="AY111">
        <v>2.27</v>
      </c>
      <c r="AZ111">
        <v>-1.25</v>
      </c>
      <c r="BA111">
        <v>74.849999999999994</v>
      </c>
      <c r="BB111">
        <v>65.94</v>
      </c>
      <c r="BC111">
        <v>-8.07</v>
      </c>
      <c r="BD111">
        <v>-9.3699999999999992</v>
      </c>
      <c r="BE111">
        <v>-24.49</v>
      </c>
      <c r="BF111">
        <v>-16.55</v>
      </c>
      <c r="BG111">
        <v>-31.98</v>
      </c>
      <c r="BH111">
        <v>-18.07</v>
      </c>
      <c r="BI111">
        <v>93.28</v>
      </c>
      <c r="BJ111">
        <v>-12.35</v>
      </c>
      <c r="BK111">
        <v>79.819999999999993</v>
      </c>
      <c r="BL111">
        <v>-12.26</v>
      </c>
      <c r="BM111">
        <v>30.53</v>
      </c>
      <c r="BN111">
        <v>13.03</v>
      </c>
      <c r="BO111">
        <v>36.64</v>
      </c>
    </row>
    <row r="112" spans="1:67">
      <c r="A112" s="19">
        <v>46129</v>
      </c>
      <c r="B112">
        <v>55.56</v>
      </c>
      <c r="C112">
        <v>-38.08</v>
      </c>
      <c r="D112">
        <v>36.25</v>
      </c>
      <c r="E112">
        <v>48.98</v>
      </c>
      <c r="F112">
        <v>14</v>
      </c>
      <c r="G112">
        <v>12.45</v>
      </c>
      <c r="H112">
        <v>4.8600000000000003</v>
      </c>
      <c r="I112">
        <v>14.41</v>
      </c>
      <c r="J112">
        <v>73.02</v>
      </c>
      <c r="K112">
        <v>-12.18</v>
      </c>
      <c r="L112">
        <v>68.36</v>
      </c>
      <c r="M112">
        <v>-32.15</v>
      </c>
      <c r="N112">
        <v>71.8</v>
      </c>
      <c r="O112">
        <v>-0.89</v>
      </c>
      <c r="P112">
        <v>-9.5299999999999994</v>
      </c>
      <c r="Q112">
        <v>-1.1100000000000001</v>
      </c>
      <c r="R112">
        <v>27.95</v>
      </c>
      <c r="S112">
        <v>89.07</v>
      </c>
      <c r="T112">
        <v>69.17</v>
      </c>
      <c r="U112">
        <v>62.85</v>
      </c>
      <c r="V112">
        <v>-8.24</v>
      </c>
      <c r="W112">
        <v>10.42</v>
      </c>
      <c r="X112">
        <v>131.56</v>
      </c>
      <c r="Y112">
        <v>10.5</v>
      </c>
      <c r="Z112">
        <v>5.17</v>
      </c>
      <c r="AA112">
        <v>-6.35</v>
      </c>
      <c r="AB112">
        <v>0.44</v>
      </c>
      <c r="AC112">
        <v>-22.65</v>
      </c>
      <c r="AD112">
        <v>-49.82</v>
      </c>
      <c r="AE112">
        <v>-27.7</v>
      </c>
      <c r="AF112">
        <v>-7.78</v>
      </c>
      <c r="AG112">
        <v>-33.22</v>
      </c>
      <c r="AH112">
        <v>99.15</v>
      </c>
      <c r="AI112">
        <v>90.88</v>
      </c>
      <c r="AJ112">
        <v>7.07</v>
      </c>
      <c r="AK112">
        <v>-28.92</v>
      </c>
      <c r="AL112">
        <v>-18.95</v>
      </c>
      <c r="AM112">
        <v>1.5</v>
      </c>
      <c r="AN112">
        <v>12.54</v>
      </c>
      <c r="AO112">
        <v>-9.0299999999999994</v>
      </c>
      <c r="AP112">
        <v>-16.12</v>
      </c>
      <c r="AQ112">
        <v>90.32</v>
      </c>
      <c r="AR112">
        <v>17.68</v>
      </c>
      <c r="AS112">
        <v>64.59</v>
      </c>
      <c r="AT112">
        <v>102.49</v>
      </c>
      <c r="AU112">
        <v>-9.6999999999999993</v>
      </c>
      <c r="AV112">
        <v>-39.85</v>
      </c>
      <c r="AW112">
        <v>-6.08</v>
      </c>
      <c r="AX112">
        <v>90.17</v>
      </c>
      <c r="AY112">
        <v>2.2999999999999998</v>
      </c>
      <c r="AZ112">
        <v>-0.66</v>
      </c>
      <c r="BA112">
        <v>72.150000000000006</v>
      </c>
      <c r="BB112">
        <v>65.91</v>
      </c>
      <c r="BC112">
        <v>-7.75</v>
      </c>
      <c r="BD112">
        <v>-8.98</v>
      </c>
      <c r="BE112">
        <v>-23.63</v>
      </c>
      <c r="BF112">
        <v>-15.84</v>
      </c>
      <c r="BG112">
        <v>-32.159999999999997</v>
      </c>
      <c r="BH112">
        <v>-17.32</v>
      </c>
      <c r="BI112">
        <v>94.74</v>
      </c>
      <c r="BJ112">
        <v>-12.18</v>
      </c>
      <c r="BK112">
        <v>80.099999999999994</v>
      </c>
      <c r="BL112">
        <v>-12.33</v>
      </c>
      <c r="BM112">
        <v>31.1</v>
      </c>
      <c r="BN112">
        <v>13.21</v>
      </c>
      <c r="BO112">
        <v>37.72</v>
      </c>
    </row>
    <row r="113" spans="1:67">
      <c r="A113" s="19">
        <v>46132</v>
      </c>
      <c r="B113">
        <v>54.85</v>
      </c>
      <c r="C113">
        <v>-37.64</v>
      </c>
      <c r="D113">
        <v>36.31</v>
      </c>
      <c r="E113">
        <v>49.12</v>
      </c>
      <c r="F113">
        <v>14.97</v>
      </c>
      <c r="G113">
        <v>12.62</v>
      </c>
      <c r="H113">
        <v>5.13</v>
      </c>
      <c r="I113">
        <v>14.36</v>
      </c>
      <c r="J113">
        <v>69.75</v>
      </c>
      <c r="K113">
        <v>-12.16</v>
      </c>
      <c r="L113">
        <v>68.09</v>
      </c>
      <c r="M113">
        <v>-32.29</v>
      </c>
      <c r="N113">
        <v>71.61</v>
      </c>
      <c r="O113">
        <v>-1.1299999999999999</v>
      </c>
      <c r="P113">
        <v>-9.6199999999999992</v>
      </c>
      <c r="Q113">
        <v>-1.34</v>
      </c>
      <c r="R113">
        <v>27.36</v>
      </c>
      <c r="S113">
        <v>88.37</v>
      </c>
      <c r="T113">
        <v>69.45</v>
      </c>
      <c r="U113">
        <v>62.3</v>
      </c>
      <c r="V113">
        <v>-8.39</v>
      </c>
      <c r="W113">
        <v>10.24</v>
      </c>
      <c r="X113">
        <v>129.1</v>
      </c>
      <c r="Y113">
        <v>10.38</v>
      </c>
      <c r="Z113">
        <v>5.18</v>
      </c>
      <c r="AA113">
        <v>-6.47</v>
      </c>
      <c r="AB113">
        <v>-0.02</v>
      </c>
      <c r="AC113">
        <v>-21.94</v>
      </c>
      <c r="AD113">
        <v>-49.66</v>
      </c>
      <c r="AE113">
        <v>-28.01</v>
      </c>
      <c r="AF113">
        <v>-8.11</v>
      </c>
      <c r="AG113">
        <v>-33.56</v>
      </c>
      <c r="AH113">
        <v>97.27</v>
      </c>
      <c r="AI113">
        <v>91.5</v>
      </c>
      <c r="AJ113">
        <v>6.85</v>
      </c>
      <c r="AK113">
        <v>-29.24</v>
      </c>
      <c r="AL113">
        <v>-19.22</v>
      </c>
      <c r="AM113">
        <v>1.4</v>
      </c>
      <c r="AN113">
        <v>12.58</v>
      </c>
      <c r="AO113">
        <v>-9.09</v>
      </c>
      <c r="AP113">
        <v>-20.92</v>
      </c>
      <c r="AQ113">
        <v>91.91</v>
      </c>
      <c r="AR113">
        <v>17.57</v>
      </c>
      <c r="AS113">
        <v>62.64</v>
      </c>
      <c r="AT113">
        <v>101.86</v>
      </c>
      <c r="AU113">
        <v>-9.9</v>
      </c>
      <c r="AV113">
        <v>-39.700000000000003</v>
      </c>
      <c r="AW113">
        <v>-6.19</v>
      </c>
      <c r="AX113">
        <v>91.57</v>
      </c>
      <c r="AY113">
        <v>2.35</v>
      </c>
      <c r="AZ113">
        <v>-0.8</v>
      </c>
      <c r="BA113">
        <v>73.099999999999994</v>
      </c>
      <c r="BB113">
        <v>63.99</v>
      </c>
      <c r="BC113">
        <v>-7.79</v>
      </c>
      <c r="BD113">
        <v>-9.0399999999999991</v>
      </c>
      <c r="BE113">
        <v>-23.78</v>
      </c>
      <c r="BF113">
        <v>-16.32</v>
      </c>
      <c r="BG113">
        <v>-32.01</v>
      </c>
      <c r="BH113">
        <v>-17.440000000000001</v>
      </c>
      <c r="BI113">
        <v>93.72</v>
      </c>
      <c r="BJ113">
        <v>-12.09</v>
      </c>
      <c r="BK113">
        <v>79.88</v>
      </c>
      <c r="BL113">
        <v>-12.26</v>
      </c>
      <c r="BM113">
        <v>30.8</v>
      </c>
      <c r="BN113">
        <v>13.21</v>
      </c>
      <c r="BO113">
        <v>37.119999999999997</v>
      </c>
    </row>
    <row r="114" spans="1:67">
      <c r="A114" s="19">
        <v>46133</v>
      </c>
      <c r="B114">
        <v>55.17</v>
      </c>
      <c r="C114">
        <v>-34.46</v>
      </c>
      <c r="D114">
        <v>36.49</v>
      </c>
      <c r="E114">
        <v>49.99</v>
      </c>
      <c r="F114">
        <v>15.48</v>
      </c>
      <c r="G114">
        <v>12.91</v>
      </c>
      <c r="H114">
        <v>5.33</v>
      </c>
      <c r="I114">
        <v>15.57</v>
      </c>
      <c r="J114">
        <v>68.349999999999994</v>
      </c>
      <c r="K114">
        <v>-12.14</v>
      </c>
      <c r="L114">
        <v>67.23</v>
      </c>
      <c r="M114">
        <v>-32.89</v>
      </c>
      <c r="N114">
        <v>72.260000000000005</v>
      </c>
      <c r="O114">
        <v>-1.38</v>
      </c>
      <c r="P114">
        <v>-9.76</v>
      </c>
      <c r="Q114">
        <v>-1.64</v>
      </c>
      <c r="R114">
        <v>26.38</v>
      </c>
      <c r="S114">
        <v>88.92</v>
      </c>
      <c r="T114">
        <v>70.2</v>
      </c>
      <c r="U114">
        <v>61.85</v>
      </c>
      <c r="V114">
        <v>-8.6999999999999993</v>
      </c>
      <c r="W114">
        <v>9.89</v>
      </c>
      <c r="X114">
        <v>126.08</v>
      </c>
      <c r="Y114">
        <v>10.08</v>
      </c>
      <c r="Z114">
        <v>5.19</v>
      </c>
      <c r="AA114">
        <v>-6.66</v>
      </c>
      <c r="AB114">
        <v>0.08</v>
      </c>
      <c r="AC114">
        <v>-21.56</v>
      </c>
      <c r="AD114">
        <v>-50.37</v>
      </c>
      <c r="AE114">
        <v>-29.13</v>
      </c>
      <c r="AF114">
        <v>-8.7100000000000009</v>
      </c>
      <c r="AG114">
        <v>-34.61</v>
      </c>
      <c r="AH114">
        <v>97.31</v>
      </c>
      <c r="AI114">
        <v>93.99</v>
      </c>
      <c r="AJ114">
        <v>6.75</v>
      </c>
      <c r="AK114">
        <v>-29.88</v>
      </c>
      <c r="AL114">
        <v>-19.57</v>
      </c>
      <c r="AM114">
        <v>1.95</v>
      </c>
      <c r="AN114">
        <v>12.47</v>
      </c>
      <c r="AO114">
        <v>-9.01</v>
      </c>
      <c r="AP114">
        <v>-22.97</v>
      </c>
      <c r="AQ114">
        <v>94.47</v>
      </c>
      <c r="AR114">
        <v>17.23</v>
      </c>
      <c r="AS114">
        <v>62.16</v>
      </c>
      <c r="AT114">
        <v>100.72</v>
      </c>
      <c r="AU114">
        <v>-10.39</v>
      </c>
      <c r="AV114">
        <v>-40.409999999999997</v>
      </c>
      <c r="AW114">
        <v>-6.45</v>
      </c>
      <c r="AX114">
        <v>93.69</v>
      </c>
      <c r="AY114">
        <v>2.27</v>
      </c>
      <c r="AZ114">
        <v>-1.22</v>
      </c>
      <c r="BA114">
        <v>74.86</v>
      </c>
      <c r="BB114">
        <v>63.44</v>
      </c>
      <c r="BC114">
        <v>-8.11</v>
      </c>
      <c r="BD114">
        <v>-9.3800000000000008</v>
      </c>
      <c r="BE114">
        <v>-24.46</v>
      </c>
      <c r="BF114">
        <v>-16.7</v>
      </c>
      <c r="BG114">
        <v>-31.72</v>
      </c>
      <c r="BH114">
        <v>-18.04</v>
      </c>
      <c r="BI114">
        <v>91.9</v>
      </c>
      <c r="BJ114">
        <v>-12.09</v>
      </c>
      <c r="BK114">
        <v>78.81</v>
      </c>
      <c r="BL114">
        <v>-12.19</v>
      </c>
      <c r="BM114">
        <v>30.09</v>
      </c>
      <c r="BN114">
        <v>12.99</v>
      </c>
      <c r="BO114">
        <v>36.520000000000003</v>
      </c>
    </row>
    <row r="115" spans="1:67">
      <c r="A115" s="19">
        <v>46134</v>
      </c>
      <c r="B115">
        <v>55.33</v>
      </c>
      <c r="C115">
        <v>-33.369999999999997</v>
      </c>
      <c r="D115">
        <v>36.479999999999997</v>
      </c>
      <c r="E115">
        <v>50.79</v>
      </c>
      <c r="F115">
        <v>16.48</v>
      </c>
      <c r="G115">
        <v>12.93</v>
      </c>
      <c r="H115">
        <v>5.68</v>
      </c>
      <c r="I115">
        <v>15.6</v>
      </c>
      <c r="J115">
        <v>67.98</v>
      </c>
      <c r="K115">
        <v>-12.2</v>
      </c>
      <c r="L115">
        <v>67.819999999999993</v>
      </c>
      <c r="M115">
        <v>-33.479999999999997</v>
      </c>
      <c r="N115">
        <v>73.13</v>
      </c>
      <c r="O115">
        <v>-1.61</v>
      </c>
      <c r="P115">
        <v>-9.91</v>
      </c>
      <c r="Q115">
        <v>-1.97</v>
      </c>
      <c r="R115">
        <v>26</v>
      </c>
      <c r="S115">
        <v>90</v>
      </c>
      <c r="T115">
        <v>70.95</v>
      </c>
      <c r="U115">
        <v>61.74</v>
      </c>
      <c r="V115">
        <v>-8.91</v>
      </c>
      <c r="W115">
        <v>9.92</v>
      </c>
      <c r="X115">
        <v>125.19</v>
      </c>
      <c r="Y115">
        <v>10.1</v>
      </c>
      <c r="Z115">
        <v>5.18</v>
      </c>
      <c r="AA115">
        <v>-6.86</v>
      </c>
      <c r="AB115">
        <v>0.3</v>
      </c>
      <c r="AC115">
        <v>-21.22</v>
      </c>
      <c r="AD115">
        <v>-50.91</v>
      </c>
      <c r="AE115">
        <v>-29.8</v>
      </c>
      <c r="AF115">
        <v>-9.0500000000000007</v>
      </c>
      <c r="AG115">
        <v>-35.22</v>
      </c>
      <c r="AH115">
        <v>97.7</v>
      </c>
      <c r="AI115">
        <v>95.42</v>
      </c>
      <c r="AJ115">
        <v>6.36</v>
      </c>
      <c r="AK115">
        <v>-30.44</v>
      </c>
      <c r="AL115">
        <v>-19.78</v>
      </c>
      <c r="AM115">
        <v>2.0099999999999998</v>
      </c>
      <c r="AN115">
        <v>12.26</v>
      </c>
      <c r="AO115">
        <v>-9.07</v>
      </c>
      <c r="AP115">
        <v>-24.74</v>
      </c>
      <c r="AQ115">
        <v>96.19</v>
      </c>
      <c r="AR115">
        <v>16.93</v>
      </c>
      <c r="AS115">
        <v>61.71</v>
      </c>
      <c r="AT115">
        <v>101.42</v>
      </c>
      <c r="AU115">
        <v>-10.64</v>
      </c>
      <c r="AV115">
        <v>-40.700000000000003</v>
      </c>
      <c r="AW115">
        <v>-6.55</v>
      </c>
      <c r="AX115">
        <v>95.92</v>
      </c>
      <c r="AY115">
        <v>2.2400000000000002</v>
      </c>
      <c r="AZ115">
        <v>-1.33</v>
      </c>
      <c r="BA115">
        <v>76.510000000000005</v>
      </c>
      <c r="BB115">
        <v>62.78</v>
      </c>
      <c r="BC115">
        <v>-8.1999999999999993</v>
      </c>
      <c r="BD115">
        <v>-9.5399999999999991</v>
      </c>
      <c r="BE115">
        <v>-24.84</v>
      </c>
      <c r="BF115">
        <v>-17.14</v>
      </c>
      <c r="BG115">
        <v>-31.88</v>
      </c>
      <c r="BH115">
        <v>-18.420000000000002</v>
      </c>
      <c r="BI115">
        <v>92.04</v>
      </c>
      <c r="BJ115">
        <v>-12.38</v>
      </c>
      <c r="BK115">
        <v>79.08</v>
      </c>
      <c r="BL115">
        <v>-12.12</v>
      </c>
      <c r="BM115">
        <v>30.13</v>
      </c>
      <c r="BN115">
        <v>12.89</v>
      </c>
      <c r="BO115">
        <v>36.380000000000003</v>
      </c>
    </row>
    <row r="116" spans="1:67">
      <c r="A116" s="19">
        <v>46135</v>
      </c>
      <c r="B116">
        <v>57.63</v>
      </c>
      <c r="C116">
        <v>-30.8</v>
      </c>
      <c r="D116">
        <v>36.700000000000003</v>
      </c>
      <c r="E116">
        <v>51.26</v>
      </c>
      <c r="F116">
        <v>15.55</v>
      </c>
      <c r="G116">
        <v>13.29</v>
      </c>
      <c r="H116">
        <v>5.86</v>
      </c>
      <c r="I116">
        <v>16.05</v>
      </c>
      <c r="J116">
        <v>71.540000000000006</v>
      </c>
      <c r="K116">
        <v>-12.18</v>
      </c>
      <c r="L116">
        <v>67.2</v>
      </c>
      <c r="M116">
        <v>-34</v>
      </c>
      <c r="N116">
        <v>74.34</v>
      </c>
      <c r="O116">
        <v>-1.69</v>
      </c>
      <c r="P116">
        <v>-10.029999999999999</v>
      </c>
      <c r="Q116">
        <v>-2.1800000000000002</v>
      </c>
      <c r="R116">
        <v>25.59</v>
      </c>
      <c r="S116">
        <v>93.44</v>
      </c>
      <c r="T116">
        <v>71.94</v>
      </c>
      <c r="U116">
        <v>61.76</v>
      </c>
      <c r="V116">
        <v>-9.17</v>
      </c>
      <c r="W116">
        <v>9.7799999999999994</v>
      </c>
      <c r="X116">
        <v>124.98</v>
      </c>
      <c r="Y116">
        <v>10.33</v>
      </c>
      <c r="Z116">
        <v>5.15</v>
      </c>
      <c r="AA116">
        <v>-7</v>
      </c>
      <c r="AB116">
        <v>0.06</v>
      </c>
      <c r="AC116">
        <v>-21.75</v>
      </c>
      <c r="AD116">
        <v>-51.57</v>
      </c>
      <c r="AE116">
        <v>-30.58</v>
      </c>
      <c r="AF116">
        <v>-9.18</v>
      </c>
      <c r="AG116">
        <v>-36.020000000000003</v>
      </c>
      <c r="AH116">
        <v>102.57</v>
      </c>
      <c r="AI116">
        <v>97.44</v>
      </c>
      <c r="AJ116">
        <v>6.15</v>
      </c>
      <c r="AK116">
        <v>-30.94</v>
      </c>
      <c r="AL116">
        <v>-20.02</v>
      </c>
      <c r="AM116">
        <v>2</v>
      </c>
      <c r="AN116">
        <v>12.28</v>
      </c>
      <c r="AO116">
        <v>-9.19</v>
      </c>
      <c r="AP116">
        <v>-19.75</v>
      </c>
      <c r="AQ116">
        <v>97.99</v>
      </c>
      <c r="AR116">
        <v>17.13</v>
      </c>
      <c r="AS116">
        <v>64.56</v>
      </c>
      <c r="AT116">
        <v>100.66</v>
      </c>
      <c r="AU116">
        <v>-10.96</v>
      </c>
      <c r="AV116">
        <v>-41.91</v>
      </c>
      <c r="AW116">
        <v>-6.77</v>
      </c>
      <c r="AX116">
        <v>98.5</v>
      </c>
      <c r="AY116">
        <v>2.2000000000000002</v>
      </c>
      <c r="AZ116">
        <v>-1.67</v>
      </c>
      <c r="BA116">
        <v>78.06</v>
      </c>
      <c r="BB116">
        <v>65.400000000000006</v>
      </c>
      <c r="BC116">
        <v>-8.4600000000000009</v>
      </c>
      <c r="BD116">
        <v>-9.82</v>
      </c>
      <c r="BE116">
        <v>-25.38</v>
      </c>
      <c r="BF116">
        <v>-17.22</v>
      </c>
      <c r="BG116">
        <v>-31.82</v>
      </c>
      <c r="BH116">
        <v>-18.87</v>
      </c>
      <c r="BI116">
        <v>91.47</v>
      </c>
      <c r="BJ116">
        <v>-12.31</v>
      </c>
      <c r="BK116">
        <v>79.36</v>
      </c>
      <c r="BL116">
        <v>-12.16</v>
      </c>
      <c r="BM116">
        <v>29.87</v>
      </c>
      <c r="BN116">
        <v>12.8</v>
      </c>
      <c r="BO116">
        <v>35.270000000000003</v>
      </c>
    </row>
    <row r="117" spans="1:67">
      <c r="A117" s="19">
        <v>46136</v>
      </c>
      <c r="B117">
        <v>58.46</v>
      </c>
      <c r="C117">
        <v>-30.86</v>
      </c>
      <c r="D117">
        <v>36.770000000000003</v>
      </c>
      <c r="E117">
        <v>51.58</v>
      </c>
      <c r="F117">
        <v>14.69</v>
      </c>
      <c r="G117">
        <v>13.3</v>
      </c>
      <c r="H117">
        <v>5.96</v>
      </c>
      <c r="I117">
        <v>16.38</v>
      </c>
      <c r="J117">
        <v>73.25</v>
      </c>
      <c r="K117">
        <v>-12.2</v>
      </c>
      <c r="L117">
        <v>67.13</v>
      </c>
      <c r="M117">
        <v>-34.04</v>
      </c>
      <c r="N117">
        <v>74.319999999999993</v>
      </c>
      <c r="O117">
        <v>-1.69</v>
      </c>
      <c r="P117">
        <v>-10.02</v>
      </c>
      <c r="Q117">
        <v>-2.27</v>
      </c>
      <c r="R117">
        <v>25.76</v>
      </c>
      <c r="S117">
        <v>94.78</v>
      </c>
      <c r="T117">
        <v>71.930000000000007</v>
      </c>
      <c r="U117">
        <v>61.92</v>
      </c>
      <c r="V117">
        <v>-9.18</v>
      </c>
      <c r="W117">
        <v>9.8000000000000007</v>
      </c>
      <c r="X117">
        <v>125.71</v>
      </c>
      <c r="Y117">
        <v>10.210000000000001</v>
      </c>
      <c r="Z117">
        <v>5.14</v>
      </c>
      <c r="AA117">
        <v>-7.01</v>
      </c>
      <c r="AB117">
        <v>0.11</v>
      </c>
      <c r="AC117">
        <v>-22.09</v>
      </c>
      <c r="AD117">
        <v>-51.69</v>
      </c>
      <c r="AE117">
        <v>-30.64</v>
      </c>
      <c r="AF117">
        <v>-9.23</v>
      </c>
      <c r="AG117">
        <v>-36.08</v>
      </c>
      <c r="AH117">
        <v>104.35</v>
      </c>
      <c r="AI117">
        <v>97.32</v>
      </c>
      <c r="AJ117">
        <v>6.09</v>
      </c>
      <c r="AK117">
        <v>-31.01</v>
      </c>
      <c r="AL117">
        <v>-20.02</v>
      </c>
      <c r="AM117">
        <v>2.33</v>
      </c>
      <c r="AN117">
        <v>12.29</v>
      </c>
      <c r="AO117">
        <v>-9.15</v>
      </c>
      <c r="AP117">
        <v>-17.07</v>
      </c>
      <c r="AQ117">
        <v>98.33</v>
      </c>
      <c r="AR117">
        <v>17.260000000000002</v>
      </c>
      <c r="AS117">
        <v>65.95</v>
      </c>
      <c r="AT117">
        <v>100.58</v>
      </c>
      <c r="AU117">
        <v>-10.94</v>
      </c>
      <c r="AV117">
        <v>-42.43</v>
      </c>
      <c r="AW117">
        <v>-6.73</v>
      </c>
      <c r="AX117">
        <v>99.66</v>
      </c>
      <c r="AY117">
        <v>2.21</v>
      </c>
      <c r="AZ117">
        <v>-1.73</v>
      </c>
      <c r="BA117">
        <v>78.08</v>
      </c>
      <c r="BB117">
        <v>66.62</v>
      </c>
      <c r="BC117">
        <v>-8.4499999999999993</v>
      </c>
      <c r="BD117">
        <v>-9.82</v>
      </c>
      <c r="BE117">
        <v>-25.41</v>
      </c>
      <c r="BF117">
        <v>-17.2</v>
      </c>
      <c r="BG117">
        <v>-31.9</v>
      </c>
      <c r="BH117">
        <v>-18.920000000000002</v>
      </c>
      <c r="BI117">
        <v>91.62</v>
      </c>
      <c r="BJ117">
        <v>-12.36</v>
      </c>
      <c r="BK117">
        <v>79.19</v>
      </c>
      <c r="BL117">
        <v>-12.22</v>
      </c>
      <c r="BM117">
        <v>30.2</v>
      </c>
      <c r="BN117">
        <v>12.76</v>
      </c>
      <c r="BO117">
        <v>35.06</v>
      </c>
    </row>
    <row r="118" spans="1:67">
      <c r="A118" s="19">
        <v>46139</v>
      </c>
      <c r="B118">
        <v>59.24</v>
      </c>
      <c r="C118">
        <v>-29.44</v>
      </c>
      <c r="D118">
        <v>36.880000000000003</v>
      </c>
      <c r="E118">
        <v>51.82</v>
      </c>
      <c r="F118">
        <v>14.19</v>
      </c>
      <c r="G118">
        <v>13.52</v>
      </c>
      <c r="H118">
        <v>6.19</v>
      </c>
      <c r="I118">
        <v>16.16</v>
      </c>
      <c r="J118">
        <v>73.97</v>
      </c>
      <c r="K118">
        <v>-12.19</v>
      </c>
      <c r="L118">
        <v>66.599999999999994</v>
      </c>
      <c r="M118">
        <v>-34.29</v>
      </c>
      <c r="N118">
        <v>74.59</v>
      </c>
      <c r="O118">
        <v>-1.85</v>
      </c>
      <c r="P118">
        <v>-10.02</v>
      </c>
      <c r="Q118">
        <v>-2.27</v>
      </c>
      <c r="R118">
        <v>25.21</v>
      </c>
      <c r="S118">
        <v>95.44</v>
      </c>
      <c r="T118">
        <v>72.2</v>
      </c>
      <c r="U118">
        <v>61.71</v>
      </c>
      <c r="V118">
        <v>-9.27</v>
      </c>
      <c r="W118">
        <v>9.6999999999999993</v>
      </c>
      <c r="X118">
        <v>124.73</v>
      </c>
      <c r="Y118">
        <v>9.84</v>
      </c>
      <c r="Z118">
        <v>5.15</v>
      </c>
      <c r="AA118">
        <v>-7</v>
      </c>
      <c r="AB118">
        <v>0</v>
      </c>
      <c r="AC118">
        <v>-22.25</v>
      </c>
      <c r="AD118">
        <v>-52.02</v>
      </c>
      <c r="AE118">
        <v>-31.06</v>
      </c>
      <c r="AF118">
        <v>-9.56</v>
      </c>
      <c r="AG118">
        <v>-36.549999999999997</v>
      </c>
      <c r="AH118">
        <v>105.86</v>
      </c>
      <c r="AI118">
        <v>98.42</v>
      </c>
      <c r="AJ118">
        <v>5.98</v>
      </c>
      <c r="AK118">
        <v>-31.3</v>
      </c>
      <c r="AL118">
        <v>-20.13</v>
      </c>
      <c r="AM118">
        <v>2.14</v>
      </c>
      <c r="AN118">
        <v>12.27</v>
      </c>
      <c r="AO118">
        <v>-9.2200000000000006</v>
      </c>
      <c r="AP118">
        <v>-15.92</v>
      </c>
      <c r="AQ118">
        <v>98.84</v>
      </c>
      <c r="AR118">
        <v>17.27</v>
      </c>
      <c r="AS118">
        <v>66.67</v>
      </c>
      <c r="AT118">
        <v>99.74</v>
      </c>
      <c r="AU118">
        <v>-11.17</v>
      </c>
      <c r="AV118">
        <v>-42.82</v>
      </c>
      <c r="AW118">
        <v>-6.79</v>
      </c>
      <c r="AX118">
        <v>99.92</v>
      </c>
      <c r="AY118">
        <v>2.2200000000000002</v>
      </c>
      <c r="AZ118">
        <v>-1.89</v>
      </c>
      <c r="BA118">
        <v>78.77</v>
      </c>
      <c r="BB118">
        <v>67.459999999999994</v>
      </c>
      <c r="BC118">
        <v>-8.6199999999999992</v>
      </c>
      <c r="BD118">
        <v>-9.9700000000000006</v>
      </c>
      <c r="BE118">
        <v>-25.68</v>
      </c>
      <c r="BF118">
        <v>-17.2</v>
      </c>
      <c r="BG118">
        <v>-31.77</v>
      </c>
      <c r="BH118">
        <v>-19.149999999999999</v>
      </c>
      <c r="BI118">
        <v>90.77</v>
      </c>
      <c r="BJ118">
        <v>-12.08</v>
      </c>
      <c r="BK118">
        <v>78.489999999999995</v>
      </c>
      <c r="BL118">
        <v>-12.11</v>
      </c>
      <c r="BM118">
        <v>30.61</v>
      </c>
      <c r="BN118">
        <v>12.64</v>
      </c>
      <c r="BO118">
        <v>34.630000000000003</v>
      </c>
    </row>
    <row r="119" spans="1:67">
      <c r="A119" s="19">
        <v>46140</v>
      </c>
      <c r="B119">
        <v>59.37</v>
      </c>
      <c r="C119">
        <v>-28.48</v>
      </c>
      <c r="D119">
        <v>37.29</v>
      </c>
      <c r="E119">
        <v>51.47</v>
      </c>
      <c r="F119">
        <v>13.8</v>
      </c>
      <c r="G119">
        <v>13.79</v>
      </c>
      <c r="H119">
        <v>6.27</v>
      </c>
      <c r="I119">
        <v>16.46</v>
      </c>
      <c r="J119">
        <v>72.95</v>
      </c>
      <c r="K119">
        <v>-12.13</v>
      </c>
      <c r="L119">
        <v>65.48</v>
      </c>
      <c r="M119">
        <v>-34.299999999999997</v>
      </c>
      <c r="N119">
        <v>74.73</v>
      </c>
      <c r="O119">
        <v>-1.99</v>
      </c>
      <c r="P119">
        <v>-10</v>
      </c>
      <c r="Q119">
        <v>-2.13</v>
      </c>
      <c r="R119">
        <v>24.64</v>
      </c>
      <c r="S119">
        <v>94.8</v>
      </c>
      <c r="T119">
        <v>72.5</v>
      </c>
      <c r="U119">
        <v>61.26</v>
      </c>
      <c r="V119">
        <v>-9.3000000000000007</v>
      </c>
      <c r="W119">
        <v>9.5399999999999991</v>
      </c>
      <c r="X119">
        <v>122.99</v>
      </c>
      <c r="Y119">
        <v>9.74</v>
      </c>
      <c r="Z119">
        <v>5.19</v>
      </c>
      <c r="AA119">
        <v>-6.94</v>
      </c>
      <c r="AB119">
        <v>-0.52</v>
      </c>
      <c r="AC119">
        <v>-22.09</v>
      </c>
      <c r="AD119">
        <v>-51.98</v>
      </c>
      <c r="AE119">
        <v>-31.28</v>
      </c>
      <c r="AF119">
        <v>-9.7799999999999994</v>
      </c>
      <c r="AG119">
        <v>-36.76</v>
      </c>
      <c r="AH119">
        <v>106.07</v>
      </c>
      <c r="AI119">
        <v>99.34</v>
      </c>
      <c r="AJ119">
        <v>5.85</v>
      </c>
      <c r="AK119">
        <v>-31.54</v>
      </c>
      <c r="AL119">
        <v>-20.170000000000002</v>
      </c>
      <c r="AM119">
        <v>1.37</v>
      </c>
      <c r="AN119">
        <v>12.35</v>
      </c>
      <c r="AO119">
        <v>-9.43</v>
      </c>
      <c r="AP119">
        <v>-17.309999999999999</v>
      </c>
      <c r="AQ119">
        <v>98.57</v>
      </c>
      <c r="AR119">
        <v>17.27</v>
      </c>
      <c r="AS119">
        <v>66.099999999999994</v>
      </c>
      <c r="AT119">
        <v>98.52</v>
      </c>
      <c r="AU119">
        <v>-11.4</v>
      </c>
      <c r="AV119">
        <v>-42.88</v>
      </c>
      <c r="AW119">
        <v>-6.88</v>
      </c>
      <c r="AX119">
        <v>98.58</v>
      </c>
      <c r="AY119">
        <v>2.3199999999999998</v>
      </c>
      <c r="AZ119">
        <v>-2</v>
      </c>
      <c r="BA119">
        <v>79.290000000000006</v>
      </c>
      <c r="BB119">
        <v>67.319999999999993</v>
      </c>
      <c r="BC119">
        <v>-8.8000000000000007</v>
      </c>
      <c r="BD119">
        <v>-10.06</v>
      </c>
      <c r="BE119">
        <v>-25.79</v>
      </c>
      <c r="BF119">
        <v>-17.16</v>
      </c>
      <c r="BG119">
        <v>-31.47</v>
      </c>
      <c r="BH119">
        <v>-19.239999999999998</v>
      </c>
      <c r="BI119">
        <v>89.41</v>
      </c>
      <c r="BJ119">
        <v>-11.39</v>
      </c>
      <c r="BK119">
        <v>78.08</v>
      </c>
      <c r="BL119">
        <v>-12.11</v>
      </c>
      <c r="BM119">
        <v>30.7</v>
      </c>
      <c r="BN119">
        <v>12.6</v>
      </c>
      <c r="BO119">
        <v>34.03</v>
      </c>
    </row>
    <row r="120" spans="1:67">
      <c r="A120" s="19">
        <v>46141</v>
      </c>
      <c r="B120">
        <v>60.91</v>
      </c>
      <c r="C120">
        <v>-22.78</v>
      </c>
      <c r="D120">
        <v>37.82</v>
      </c>
      <c r="E120">
        <v>52.57</v>
      </c>
      <c r="F120">
        <v>12.99</v>
      </c>
      <c r="G120">
        <v>14.74</v>
      </c>
      <c r="H120">
        <v>6.61</v>
      </c>
      <c r="I120">
        <v>17.98</v>
      </c>
      <c r="J120">
        <v>73.75</v>
      </c>
      <c r="K120">
        <v>-12.19</v>
      </c>
      <c r="L120">
        <v>64.540000000000006</v>
      </c>
      <c r="M120">
        <v>-35.65</v>
      </c>
      <c r="N120">
        <v>76.55</v>
      </c>
      <c r="O120">
        <v>-2.4700000000000002</v>
      </c>
      <c r="P120">
        <v>-10.32</v>
      </c>
      <c r="Q120">
        <v>-2.82</v>
      </c>
      <c r="R120">
        <v>23.47</v>
      </c>
      <c r="S120">
        <v>98.18</v>
      </c>
      <c r="T120">
        <v>74.400000000000006</v>
      </c>
      <c r="U120">
        <v>61.2</v>
      </c>
      <c r="V120">
        <v>-9.94</v>
      </c>
      <c r="W120">
        <v>9.24</v>
      </c>
      <c r="X120">
        <v>120.89</v>
      </c>
      <c r="Y120">
        <v>9.39</v>
      </c>
      <c r="Z120">
        <v>5.16</v>
      </c>
      <c r="AA120">
        <v>-7.33</v>
      </c>
      <c r="AB120">
        <v>-1.01</v>
      </c>
      <c r="AC120">
        <v>-21.92</v>
      </c>
      <c r="AD120">
        <v>-53.61</v>
      </c>
      <c r="AE120">
        <v>-33.020000000000003</v>
      </c>
      <c r="AF120">
        <v>-10.4</v>
      </c>
      <c r="AG120">
        <v>-38.56</v>
      </c>
      <c r="AH120">
        <v>108.89</v>
      </c>
      <c r="AI120">
        <v>103.76</v>
      </c>
      <c r="AJ120">
        <v>5.38</v>
      </c>
      <c r="AK120">
        <v>-32.5</v>
      </c>
      <c r="AL120">
        <v>-20.56</v>
      </c>
      <c r="AM120">
        <v>1.88</v>
      </c>
      <c r="AN120">
        <v>12.36</v>
      </c>
      <c r="AO120">
        <v>-9.58</v>
      </c>
      <c r="AP120">
        <v>-16.57</v>
      </c>
      <c r="AQ120">
        <v>103.22</v>
      </c>
      <c r="AR120">
        <v>16.850000000000001</v>
      </c>
      <c r="AS120">
        <v>67.27</v>
      </c>
      <c r="AT120">
        <v>97.49</v>
      </c>
      <c r="AU120">
        <v>-12.05</v>
      </c>
      <c r="AV120">
        <v>-43.84</v>
      </c>
      <c r="AW120">
        <v>-7.36</v>
      </c>
      <c r="AX120">
        <v>103.38</v>
      </c>
      <c r="AY120">
        <v>2.04</v>
      </c>
      <c r="AZ120">
        <v>-2.72</v>
      </c>
      <c r="BA120">
        <v>82.84</v>
      </c>
      <c r="BB120">
        <v>68.09</v>
      </c>
      <c r="BC120">
        <v>-9.35</v>
      </c>
      <c r="BD120">
        <v>-10.69</v>
      </c>
      <c r="BE120">
        <v>-26.99</v>
      </c>
      <c r="BF120">
        <v>-17.7</v>
      </c>
      <c r="BG120">
        <v>-31.35</v>
      </c>
      <c r="BH120">
        <v>-20.239999999999998</v>
      </c>
      <c r="BI120">
        <v>88.31</v>
      </c>
      <c r="BJ120">
        <v>-11.72</v>
      </c>
      <c r="BK120">
        <v>77.52</v>
      </c>
      <c r="BL120">
        <v>-11.89</v>
      </c>
      <c r="BM120">
        <v>29.96</v>
      </c>
      <c r="BN120">
        <v>12.36</v>
      </c>
      <c r="BO120">
        <v>33.14</v>
      </c>
    </row>
    <row r="121" spans="1:67">
      <c r="A121" s="19">
        <v>46142</v>
      </c>
      <c r="B121">
        <v>61.56</v>
      </c>
      <c r="C121">
        <v>-25.71</v>
      </c>
      <c r="D121">
        <v>37.71</v>
      </c>
      <c r="E121">
        <v>52.47</v>
      </c>
      <c r="F121">
        <v>12.24</v>
      </c>
      <c r="G121">
        <v>14.37</v>
      </c>
      <c r="H121">
        <v>6.65</v>
      </c>
      <c r="I121">
        <v>18.02</v>
      </c>
      <c r="J121">
        <v>75.61</v>
      </c>
      <c r="K121">
        <v>-12.24</v>
      </c>
      <c r="L121">
        <v>64.67</v>
      </c>
      <c r="M121">
        <v>-35.24</v>
      </c>
      <c r="N121">
        <v>75.7</v>
      </c>
      <c r="O121">
        <v>-2.54</v>
      </c>
      <c r="P121">
        <v>-10.220000000000001</v>
      </c>
      <c r="Q121">
        <v>-2.64</v>
      </c>
      <c r="R121">
        <v>23.68</v>
      </c>
      <c r="S121">
        <v>99.29</v>
      </c>
      <c r="T121">
        <v>73.69</v>
      </c>
      <c r="U121">
        <v>61.51</v>
      </c>
      <c r="V121">
        <v>-9.6999999999999993</v>
      </c>
      <c r="W121">
        <v>9.5</v>
      </c>
      <c r="X121">
        <v>122.4</v>
      </c>
      <c r="Y121">
        <v>9.1199999999999992</v>
      </c>
      <c r="Z121">
        <v>5.15</v>
      </c>
      <c r="AA121">
        <v>-7.23</v>
      </c>
      <c r="AB121">
        <v>-0.8</v>
      </c>
      <c r="AC121">
        <v>-22.19</v>
      </c>
      <c r="AD121">
        <v>-52.95</v>
      </c>
      <c r="AE121">
        <v>-32.43</v>
      </c>
      <c r="AF121">
        <v>-10.52</v>
      </c>
      <c r="AG121">
        <v>-37.909999999999997</v>
      </c>
      <c r="AH121">
        <v>110.76</v>
      </c>
      <c r="AI121">
        <v>101.92</v>
      </c>
      <c r="AJ121">
        <v>5.26</v>
      </c>
      <c r="AK121">
        <v>-32.28</v>
      </c>
      <c r="AL121">
        <v>-20.399999999999999</v>
      </c>
      <c r="AM121">
        <v>1.62</v>
      </c>
      <c r="AN121">
        <v>12.26</v>
      </c>
      <c r="AO121">
        <v>-9.5399999999999991</v>
      </c>
      <c r="AP121">
        <v>-14.21</v>
      </c>
      <c r="AQ121">
        <v>101.76</v>
      </c>
      <c r="AR121">
        <v>16.79</v>
      </c>
      <c r="AS121">
        <v>68.27</v>
      </c>
      <c r="AT121">
        <v>98.11</v>
      </c>
      <c r="AU121">
        <v>-11.89</v>
      </c>
      <c r="AV121">
        <v>-44.06</v>
      </c>
      <c r="AW121">
        <v>-7.2</v>
      </c>
      <c r="AX121">
        <v>103.06</v>
      </c>
      <c r="AY121">
        <v>2.12</v>
      </c>
      <c r="AZ121">
        <v>-2.5099999999999998</v>
      </c>
      <c r="BA121">
        <v>82.02</v>
      </c>
      <c r="BB121">
        <v>69.2</v>
      </c>
      <c r="BC121">
        <v>-9.06</v>
      </c>
      <c r="BD121">
        <v>-10.42</v>
      </c>
      <c r="BE121">
        <v>-26.55</v>
      </c>
      <c r="BF121">
        <v>-17.489999999999998</v>
      </c>
      <c r="BG121">
        <v>-31.55</v>
      </c>
      <c r="BH121">
        <v>-19.88</v>
      </c>
      <c r="BI121">
        <v>89.21</v>
      </c>
      <c r="BJ121">
        <v>-12.01</v>
      </c>
      <c r="BK121">
        <v>77.58</v>
      </c>
      <c r="BL121">
        <v>-11.76</v>
      </c>
      <c r="BM121">
        <v>30.1</v>
      </c>
      <c r="BN121">
        <v>12.38</v>
      </c>
      <c r="BO121">
        <v>33.590000000000003</v>
      </c>
    </row>
    <row r="122" spans="1:67">
      <c r="A122" s="19">
        <v>46143</v>
      </c>
      <c r="B122">
        <v>61.45</v>
      </c>
      <c r="C122">
        <v>-30.4</v>
      </c>
      <c r="D122">
        <v>37.24</v>
      </c>
      <c r="E122">
        <v>52.43</v>
      </c>
      <c r="F122">
        <v>12.87</v>
      </c>
      <c r="G122">
        <v>13.84</v>
      </c>
      <c r="H122">
        <v>6.62</v>
      </c>
      <c r="I122">
        <v>17.149999999999999</v>
      </c>
      <c r="J122">
        <v>75.61</v>
      </c>
      <c r="K122">
        <v>-12.22</v>
      </c>
      <c r="L122">
        <v>65.16</v>
      </c>
      <c r="M122">
        <v>-34.43</v>
      </c>
      <c r="N122">
        <v>74.319999999999993</v>
      </c>
      <c r="O122">
        <v>-2.5499999999999998</v>
      </c>
      <c r="P122">
        <v>-10.1</v>
      </c>
      <c r="Q122">
        <v>-2.54</v>
      </c>
      <c r="R122">
        <v>23.95</v>
      </c>
      <c r="S122">
        <v>99.07</v>
      </c>
      <c r="T122">
        <v>71.95</v>
      </c>
      <c r="U122">
        <v>61.61</v>
      </c>
      <c r="V122">
        <v>-9.36</v>
      </c>
      <c r="W122">
        <v>9.52</v>
      </c>
      <c r="X122">
        <v>122.84</v>
      </c>
      <c r="Y122">
        <v>9.23</v>
      </c>
      <c r="Z122">
        <v>5.16</v>
      </c>
      <c r="AA122">
        <v>-7.08</v>
      </c>
      <c r="AB122">
        <v>-0.48</v>
      </c>
      <c r="AC122">
        <v>-22.26</v>
      </c>
      <c r="AD122">
        <v>-51.71</v>
      </c>
      <c r="AE122">
        <v>-31.73</v>
      </c>
      <c r="AF122">
        <v>-10.51</v>
      </c>
      <c r="AG122">
        <v>-36.94</v>
      </c>
      <c r="AH122">
        <v>110.48</v>
      </c>
      <c r="AI122">
        <v>98.72</v>
      </c>
      <c r="AJ122">
        <v>5.29</v>
      </c>
      <c r="AK122">
        <v>-32</v>
      </c>
      <c r="AL122">
        <v>-20.37</v>
      </c>
      <c r="AM122">
        <v>2.21</v>
      </c>
      <c r="AN122">
        <v>12.17</v>
      </c>
      <c r="AO122">
        <v>-9.4</v>
      </c>
      <c r="AP122">
        <v>-14.08</v>
      </c>
      <c r="AQ122">
        <v>99.94</v>
      </c>
      <c r="AR122">
        <v>16.66</v>
      </c>
      <c r="AS122">
        <v>68.209999999999994</v>
      </c>
      <c r="AT122">
        <v>98.81</v>
      </c>
      <c r="AU122">
        <v>-11.72</v>
      </c>
      <c r="AV122">
        <v>-43.63</v>
      </c>
      <c r="AW122">
        <v>-6.89</v>
      </c>
      <c r="AX122">
        <v>102.87</v>
      </c>
      <c r="AY122">
        <v>2.4</v>
      </c>
      <c r="AZ122">
        <v>-2.19</v>
      </c>
      <c r="BA122">
        <v>80.02</v>
      </c>
      <c r="BB122">
        <v>69.180000000000007</v>
      </c>
      <c r="BC122">
        <v>-8.61</v>
      </c>
      <c r="BD122">
        <v>-10</v>
      </c>
      <c r="BE122">
        <v>-25.72</v>
      </c>
      <c r="BF122">
        <v>-17.510000000000002</v>
      </c>
      <c r="BG122">
        <v>-31.61</v>
      </c>
      <c r="BH122">
        <v>-19.350000000000001</v>
      </c>
      <c r="BI122">
        <v>89.46</v>
      </c>
      <c r="BJ122">
        <v>-11.8</v>
      </c>
      <c r="BK122">
        <v>77.72</v>
      </c>
      <c r="BL122">
        <v>-11.73</v>
      </c>
      <c r="BM122">
        <v>30.79</v>
      </c>
      <c r="BN122">
        <v>12.49</v>
      </c>
      <c r="BO122">
        <v>33.729999999999997</v>
      </c>
    </row>
    <row r="123" spans="1:67">
      <c r="A123" s="19">
        <v>46146</v>
      </c>
      <c r="B123">
        <v>64.59</v>
      </c>
      <c r="C123">
        <v>-27.52</v>
      </c>
      <c r="D123">
        <v>37.979999999999997</v>
      </c>
      <c r="E123">
        <v>52.27</v>
      </c>
      <c r="F123">
        <v>13.09</v>
      </c>
      <c r="G123">
        <v>14.6</v>
      </c>
      <c r="H123">
        <v>6.59</v>
      </c>
      <c r="I123">
        <v>18.23</v>
      </c>
      <c r="J123">
        <v>79.819999999999993</v>
      </c>
      <c r="K123">
        <v>-12.21</v>
      </c>
      <c r="L123">
        <v>64.55</v>
      </c>
      <c r="M123">
        <v>-34.979999999999997</v>
      </c>
      <c r="N123">
        <v>74.81</v>
      </c>
      <c r="O123">
        <v>-2.91</v>
      </c>
      <c r="P123">
        <v>-10.29</v>
      </c>
      <c r="Q123">
        <v>-2.73</v>
      </c>
      <c r="R123">
        <v>22.84</v>
      </c>
      <c r="S123">
        <v>103.44</v>
      </c>
      <c r="T123">
        <v>73.28</v>
      </c>
      <c r="U123">
        <v>61.06</v>
      </c>
      <c r="V123">
        <v>-9.74</v>
      </c>
      <c r="W123">
        <v>9.4</v>
      </c>
      <c r="X123">
        <v>121.61</v>
      </c>
      <c r="Y123">
        <v>8.89</v>
      </c>
      <c r="Z123">
        <v>5.17</v>
      </c>
      <c r="AA123">
        <v>-7.33</v>
      </c>
      <c r="AB123">
        <v>-0.96</v>
      </c>
      <c r="AC123">
        <v>-22.67</v>
      </c>
      <c r="AD123">
        <v>-52.01</v>
      </c>
      <c r="AE123">
        <v>-32.49</v>
      </c>
      <c r="AF123">
        <v>-11.17</v>
      </c>
      <c r="AG123">
        <v>-37.75</v>
      </c>
      <c r="AH123">
        <v>115.68</v>
      </c>
      <c r="AI123">
        <v>101.2</v>
      </c>
      <c r="AJ123">
        <v>5</v>
      </c>
      <c r="AK123">
        <v>-32.6</v>
      </c>
      <c r="AL123">
        <v>-20.64</v>
      </c>
      <c r="AM123">
        <v>1.47</v>
      </c>
      <c r="AN123">
        <v>12.1</v>
      </c>
      <c r="AO123">
        <v>-9.66</v>
      </c>
      <c r="AP123">
        <v>-9.43</v>
      </c>
      <c r="AQ123">
        <v>102.9</v>
      </c>
      <c r="AR123">
        <v>16.28</v>
      </c>
      <c r="AS123">
        <v>71.09</v>
      </c>
      <c r="AT123">
        <v>97.58</v>
      </c>
      <c r="AU123">
        <v>-12.25</v>
      </c>
      <c r="AV123">
        <v>-44.33</v>
      </c>
      <c r="AW123">
        <v>-7.2</v>
      </c>
      <c r="AX123">
        <v>106.41</v>
      </c>
      <c r="AY123">
        <v>2.33</v>
      </c>
      <c r="AZ123">
        <v>-2.39</v>
      </c>
      <c r="BA123">
        <v>82.49</v>
      </c>
      <c r="BB123">
        <v>73.760000000000005</v>
      </c>
      <c r="BC123">
        <v>-8.92</v>
      </c>
      <c r="BD123">
        <v>-10.27</v>
      </c>
      <c r="BE123">
        <v>-26.16</v>
      </c>
      <c r="BF123">
        <v>-17.989999999999998</v>
      </c>
      <c r="BG123">
        <v>-31.49</v>
      </c>
      <c r="BH123">
        <v>-19.75</v>
      </c>
      <c r="BI123">
        <v>87.69</v>
      </c>
      <c r="BJ123">
        <v>-11.51</v>
      </c>
      <c r="BK123">
        <v>76.98</v>
      </c>
      <c r="BL123">
        <v>-11.52</v>
      </c>
      <c r="BM123">
        <v>30.64</v>
      </c>
      <c r="BN123">
        <v>12.34</v>
      </c>
      <c r="BO123">
        <v>32.159999999999997</v>
      </c>
    </row>
    <row r="124" spans="1:67">
      <c r="A124" s="19">
        <v>46147</v>
      </c>
      <c r="B124">
        <v>62.84</v>
      </c>
      <c r="C124">
        <v>-28.49</v>
      </c>
      <c r="D124">
        <v>37.83</v>
      </c>
      <c r="E124">
        <v>53.05</v>
      </c>
      <c r="F124">
        <v>13.7</v>
      </c>
      <c r="G124">
        <v>14.51</v>
      </c>
      <c r="H124">
        <v>6.6</v>
      </c>
      <c r="I124">
        <v>18.3</v>
      </c>
      <c r="J124">
        <v>77.849999999999994</v>
      </c>
      <c r="K124">
        <v>-12.21</v>
      </c>
      <c r="L124">
        <v>65.430000000000007</v>
      </c>
      <c r="M124">
        <v>-34.909999999999997</v>
      </c>
      <c r="N124">
        <v>74.89</v>
      </c>
      <c r="O124">
        <v>-2.61</v>
      </c>
      <c r="P124">
        <v>-10.23</v>
      </c>
      <c r="Q124">
        <v>-2.65</v>
      </c>
      <c r="R124">
        <v>23.65</v>
      </c>
      <c r="S124">
        <v>100.85</v>
      </c>
      <c r="T124">
        <v>73.14</v>
      </c>
      <c r="U124">
        <v>61.32</v>
      </c>
      <c r="V124">
        <v>-9.59</v>
      </c>
      <c r="W124">
        <v>9.3800000000000008</v>
      </c>
      <c r="X124">
        <v>122.93</v>
      </c>
      <c r="Y124">
        <v>9.2899999999999991</v>
      </c>
      <c r="Z124">
        <v>5.15</v>
      </c>
      <c r="AA124">
        <v>-7.25</v>
      </c>
      <c r="AB124">
        <v>-0.42</v>
      </c>
      <c r="AC124">
        <v>-22.56</v>
      </c>
      <c r="AD124">
        <v>-51.96</v>
      </c>
      <c r="AE124">
        <v>-32.4</v>
      </c>
      <c r="AF124">
        <v>-10.73</v>
      </c>
      <c r="AG124">
        <v>-37.6</v>
      </c>
      <c r="AH124">
        <v>112.34</v>
      </c>
      <c r="AI124">
        <v>100.15</v>
      </c>
      <c r="AJ124">
        <v>5.33</v>
      </c>
      <c r="AK124">
        <v>-32.35</v>
      </c>
      <c r="AL124">
        <v>-20.58</v>
      </c>
      <c r="AM124">
        <v>2.97</v>
      </c>
      <c r="AN124">
        <v>12.12</v>
      </c>
      <c r="AO124">
        <v>-9.4499999999999993</v>
      </c>
      <c r="AP124">
        <v>-11.45</v>
      </c>
      <c r="AQ124">
        <v>101.45</v>
      </c>
      <c r="AR124">
        <v>16.47</v>
      </c>
      <c r="AS124">
        <v>69.42</v>
      </c>
      <c r="AT124">
        <v>98.39</v>
      </c>
      <c r="AU124">
        <v>-12.06</v>
      </c>
      <c r="AV124">
        <v>-43.66</v>
      </c>
      <c r="AW124">
        <v>-7.1</v>
      </c>
      <c r="AX124">
        <v>104.41</v>
      </c>
      <c r="AY124">
        <v>2.2799999999999998</v>
      </c>
      <c r="AZ124">
        <v>-2.33</v>
      </c>
      <c r="BA124">
        <v>81.260000000000005</v>
      </c>
      <c r="BB124">
        <v>71.28</v>
      </c>
      <c r="BC124">
        <v>-8.8000000000000007</v>
      </c>
      <c r="BD124">
        <v>-10.210000000000001</v>
      </c>
      <c r="BE124">
        <v>-25.98</v>
      </c>
      <c r="BF124">
        <v>-17.71</v>
      </c>
      <c r="BG124">
        <v>-31.58</v>
      </c>
      <c r="BH124">
        <v>-19.72</v>
      </c>
      <c r="BI124">
        <v>88.65</v>
      </c>
      <c r="BJ124">
        <v>-11.77</v>
      </c>
      <c r="BK124">
        <v>77.680000000000007</v>
      </c>
      <c r="BL124">
        <v>-11.7</v>
      </c>
      <c r="BM124">
        <v>31.07</v>
      </c>
      <c r="BN124">
        <v>12.38</v>
      </c>
      <c r="BO124">
        <v>33.14</v>
      </c>
    </row>
    <row r="125" spans="1:67">
      <c r="A125" s="19">
        <v>46148</v>
      </c>
      <c r="B125">
        <v>62</v>
      </c>
      <c r="C125">
        <v>-34.08</v>
      </c>
      <c r="D125">
        <v>36.9</v>
      </c>
      <c r="E125">
        <v>52.72</v>
      </c>
      <c r="F125">
        <v>12.82</v>
      </c>
      <c r="G125">
        <v>13.51</v>
      </c>
      <c r="H125">
        <v>6.52</v>
      </c>
      <c r="I125">
        <v>16.239999999999998</v>
      </c>
      <c r="J125">
        <v>79.650000000000006</v>
      </c>
      <c r="K125">
        <v>-12.22</v>
      </c>
      <c r="L125">
        <v>67.69</v>
      </c>
      <c r="M125">
        <v>-33.950000000000003</v>
      </c>
      <c r="N125">
        <v>73.260000000000005</v>
      </c>
      <c r="O125">
        <v>-2.2999999999999998</v>
      </c>
      <c r="P125">
        <v>-9.94</v>
      </c>
      <c r="Q125">
        <v>-2.48</v>
      </c>
      <c r="R125">
        <v>25.06</v>
      </c>
      <c r="S125">
        <v>97.94</v>
      </c>
      <c r="T125">
        <v>71.31</v>
      </c>
      <c r="U125">
        <v>62.24</v>
      </c>
      <c r="V125">
        <v>-9</v>
      </c>
      <c r="W125">
        <v>9.6199999999999992</v>
      </c>
      <c r="X125">
        <v>126.7</v>
      </c>
      <c r="Y125">
        <v>9.4600000000000009</v>
      </c>
      <c r="Z125">
        <v>5.17</v>
      </c>
      <c r="AA125">
        <v>-6.89</v>
      </c>
      <c r="AB125">
        <v>0.2</v>
      </c>
      <c r="AC125">
        <v>-23.03</v>
      </c>
      <c r="AD125">
        <v>-50.72</v>
      </c>
      <c r="AE125">
        <v>-30.81</v>
      </c>
      <c r="AF125">
        <v>-10.199999999999999</v>
      </c>
      <c r="AG125">
        <v>-35.950000000000003</v>
      </c>
      <c r="AH125">
        <v>110.7</v>
      </c>
      <c r="AI125">
        <v>96.07</v>
      </c>
      <c r="AJ125">
        <v>5.63</v>
      </c>
      <c r="AK125">
        <v>-31.51</v>
      </c>
      <c r="AL125">
        <v>-20.239999999999998</v>
      </c>
      <c r="AM125">
        <v>3.05</v>
      </c>
      <c r="AN125">
        <v>12.15</v>
      </c>
      <c r="AO125">
        <v>-9.2200000000000006</v>
      </c>
      <c r="AP125">
        <v>-9.56</v>
      </c>
      <c r="AQ125">
        <v>97.4</v>
      </c>
      <c r="AR125">
        <v>16.93</v>
      </c>
      <c r="AS125">
        <v>68.77</v>
      </c>
      <c r="AT125">
        <v>100.82</v>
      </c>
      <c r="AU125">
        <v>-11.4</v>
      </c>
      <c r="AV125">
        <v>-43.14</v>
      </c>
      <c r="AW125">
        <v>-6.65</v>
      </c>
      <c r="AX125">
        <v>100.35</v>
      </c>
      <c r="AY125">
        <v>2.42</v>
      </c>
      <c r="AZ125">
        <v>-1.65</v>
      </c>
      <c r="BA125">
        <v>77.180000000000007</v>
      </c>
      <c r="BB125">
        <v>72.2</v>
      </c>
      <c r="BC125">
        <v>-8.19</v>
      </c>
      <c r="BD125">
        <v>-9.65</v>
      </c>
      <c r="BE125">
        <v>-24.94</v>
      </c>
      <c r="BF125">
        <v>-16.96</v>
      </c>
      <c r="BG125">
        <v>-31.74</v>
      </c>
      <c r="BH125">
        <v>-18.850000000000001</v>
      </c>
      <c r="BI125">
        <v>90.75</v>
      </c>
      <c r="BJ125">
        <v>-12.08</v>
      </c>
      <c r="BK125">
        <v>78.16</v>
      </c>
      <c r="BL125">
        <v>-11.94</v>
      </c>
      <c r="BM125">
        <v>31.69</v>
      </c>
      <c r="BN125">
        <v>12.62</v>
      </c>
      <c r="BO125">
        <v>34.42</v>
      </c>
    </row>
    <row r="126" spans="1:67">
      <c r="A126" s="19">
        <v>46149</v>
      </c>
      <c r="B126">
        <v>60.22</v>
      </c>
      <c r="C126">
        <v>-32.04</v>
      </c>
      <c r="D126">
        <v>36.880000000000003</v>
      </c>
      <c r="E126">
        <v>52.63</v>
      </c>
      <c r="F126">
        <v>12.28</v>
      </c>
      <c r="G126">
        <v>13.42</v>
      </c>
      <c r="H126">
        <v>6.36</v>
      </c>
      <c r="I126">
        <v>16.25</v>
      </c>
      <c r="J126">
        <v>76.56</v>
      </c>
      <c r="K126">
        <v>-12.23</v>
      </c>
      <c r="L126">
        <v>67.760000000000005</v>
      </c>
      <c r="M126">
        <v>-34.24</v>
      </c>
      <c r="N126">
        <v>73.69</v>
      </c>
      <c r="O126">
        <v>-2.34</v>
      </c>
      <c r="P126">
        <v>-9.9700000000000006</v>
      </c>
      <c r="Q126">
        <v>-2.5</v>
      </c>
      <c r="R126">
        <v>25.28</v>
      </c>
      <c r="S126">
        <v>96.09</v>
      </c>
      <c r="T126">
        <v>72.31</v>
      </c>
      <c r="U126">
        <v>62.23</v>
      </c>
      <c r="V126">
        <v>-9.1</v>
      </c>
      <c r="W126">
        <v>9.66</v>
      </c>
      <c r="X126">
        <v>127.02</v>
      </c>
      <c r="Y126">
        <v>9.17</v>
      </c>
      <c r="Z126">
        <v>5.19</v>
      </c>
      <c r="AA126">
        <v>-6.93</v>
      </c>
      <c r="AB126">
        <v>0.15</v>
      </c>
      <c r="AC126">
        <v>-22.56</v>
      </c>
      <c r="AD126">
        <v>-51.4</v>
      </c>
      <c r="AE126">
        <v>-30.91</v>
      </c>
      <c r="AF126">
        <v>-10.14</v>
      </c>
      <c r="AG126">
        <v>-36.18</v>
      </c>
      <c r="AH126">
        <v>107.77</v>
      </c>
      <c r="AI126">
        <v>97.31</v>
      </c>
      <c r="AJ126">
        <v>5.73</v>
      </c>
      <c r="AK126">
        <v>-31.55</v>
      </c>
      <c r="AL126">
        <v>-20.14</v>
      </c>
      <c r="AM126">
        <v>2.92</v>
      </c>
      <c r="AN126">
        <v>12.22</v>
      </c>
      <c r="AO126">
        <v>-9.3699999999999992</v>
      </c>
      <c r="AP126">
        <v>-13.16</v>
      </c>
      <c r="AQ126">
        <v>97.76</v>
      </c>
      <c r="AR126">
        <v>16.95</v>
      </c>
      <c r="AS126">
        <v>67</v>
      </c>
      <c r="AT126">
        <v>100.98</v>
      </c>
      <c r="AU126">
        <v>-11.35</v>
      </c>
      <c r="AV126">
        <v>-42.52</v>
      </c>
      <c r="AW126">
        <v>-6.72</v>
      </c>
      <c r="AX126">
        <v>99.38</v>
      </c>
      <c r="AY126">
        <v>2.2799999999999998</v>
      </c>
      <c r="AZ126">
        <v>-1.74</v>
      </c>
      <c r="BA126">
        <v>77.69</v>
      </c>
      <c r="BB126">
        <v>68.77</v>
      </c>
      <c r="BC126">
        <v>-8.34</v>
      </c>
      <c r="BD126">
        <v>-9.8000000000000007</v>
      </c>
      <c r="BE126">
        <v>-25.22</v>
      </c>
      <c r="BF126">
        <v>-16.88</v>
      </c>
      <c r="BG126">
        <v>-31.79</v>
      </c>
      <c r="BH126">
        <v>-19.02</v>
      </c>
      <c r="BI126">
        <v>91.08</v>
      </c>
      <c r="BJ126">
        <v>-12.24</v>
      </c>
      <c r="BK126">
        <v>77.84</v>
      </c>
      <c r="BL126">
        <v>-11.94</v>
      </c>
      <c r="BM126">
        <v>30.97</v>
      </c>
      <c r="BN126">
        <v>12.55</v>
      </c>
      <c r="BO126">
        <v>34.92</v>
      </c>
    </row>
    <row r="127" spans="1:67">
      <c r="A127" s="19">
        <v>46150</v>
      </c>
      <c r="B127">
        <v>58.82</v>
      </c>
      <c r="C127">
        <v>-34.19</v>
      </c>
      <c r="D127">
        <v>36.74</v>
      </c>
      <c r="E127">
        <v>52.76</v>
      </c>
      <c r="F127">
        <v>12.27</v>
      </c>
      <c r="G127">
        <v>13.41</v>
      </c>
      <c r="H127">
        <v>6.33</v>
      </c>
      <c r="I127">
        <v>16.28</v>
      </c>
      <c r="J127">
        <v>73.84</v>
      </c>
      <c r="K127">
        <v>-12.24</v>
      </c>
      <c r="L127">
        <v>68.87</v>
      </c>
      <c r="M127">
        <v>-34.07</v>
      </c>
      <c r="N127">
        <v>73.09</v>
      </c>
      <c r="O127">
        <v>-2.4500000000000002</v>
      </c>
      <c r="P127">
        <v>-9.9600000000000009</v>
      </c>
      <c r="Q127">
        <v>-2.44</v>
      </c>
      <c r="R127">
        <v>25.28</v>
      </c>
      <c r="S127">
        <v>95.31</v>
      </c>
      <c r="T127">
        <v>71.400000000000006</v>
      </c>
      <c r="U127">
        <v>62.06</v>
      </c>
      <c r="V127">
        <v>-9</v>
      </c>
      <c r="W127">
        <v>9.68</v>
      </c>
      <c r="X127">
        <v>125.63</v>
      </c>
      <c r="Y127">
        <v>9.1</v>
      </c>
      <c r="Z127">
        <v>5.19</v>
      </c>
      <c r="AA127">
        <v>-6.92</v>
      </c>
      <c r="AB127">
        <v>0.16</v>
      </c>
      <c r="AC127">
        <v>-21.99</v>
      </c>
      <c r="AD127">
        <v>-50.94</v>
      </c>
      <c r="AE127">
        <v>-30.7</v>
      </c>
      <c r="AF127">
        <v>-10.27</v>
      </c>
      <c r="AG127">
        <v>-35.9</v>
      </c>
      <c r="AH127">
        <v>105.78</v>
      </c>
      <c r="AI127">
        <v>96.17</v>
      </c>
      <c r="AJ127">
        <v>5.59</v>
      </c>
      <c r="AK127">
        <v>-31.51</v>
      </c>
      <c r="AL127">
        <v>-20.23</v>
      </c>
      <c r="AM127">
        <v>3.22</v>
      </c>
      <c r="AN127">
        <v>12.21</v>
      </c>
      <c r="AO127">
        <v>-9.34</v>
      </c>
      <c r="AP127">
        <v>-17.309999999999999</v>
      </c>
      <c r="AQ127">
        <v>97.55</v>
      </c>
      <c r="AR127">
        <v>17.09</v>
      </c>
      <c r="AS127">
        <v>65.59</v>
      </c>
      <c r="AT127">
        <v>101.8</v>
      </c>
      <c r="AU127">
        <v>-11.32</v>
      </c>
      <c r="AV127">
        <v>-41.85</v>
      </c>
      <c r="AW127">
        <v>-6.6</v>
      </c>
      <c r="AX127">
        <v>99.76</v>
      </c>
      <c r="AY127">
        <v>2.41</v>
      </c>
      <c r="AZ127">
        <v>-1.48</v>
      </c>
      <c r="BA127">
        <v>77.260000000000005</v>
      </c>
      <c r="BB127">
        <v>65.27</v>
      </c>
      <c r="BC127">
        <v>-8.14</v>
      </c>
      <c r="BD127">
        <v>-9.64</v>
      </c>
      <c r="BE127">
        <v>-25.02</v>
      </c>
      <c r="BF127">
        <v>-17.16</v>
      </c>
      <c r="BG127">
        <v>-31.82</v>
      </c>
      <c r="BH127">
        <v>-18.88</v>
      </c>
      <c r="BI127">
        <v>91.29</v>
      </c>
      <c r="BJ127">
        <v>-12.08</v>
      </c>
      <c r="BK127">
        <v>77.88</v>
      </c>
      <c r="BL127">
        <v>-11.9</v>
      </c>
      <c r="BM127">
        <v>31</v>
      </c>
      <c r="BN127">
        <v>12.56</v>
      </c>
      <c r="BO127">
        <v>35.159999999999997</v>
      </c>
    </row>
    <row r="128" spans="1:67">
      <c r="A128" s="19">
        <v>46153</v>
      </c>
      <c r="B128">
        <v>59.51</v>
      </c>
      <c r="C128">
        <v>-30.79</v>
      </c>
      <c r="D128">
        <v>36.950000000000003</v>
      </c>
      <c r="E128">
        <v>53.76</v>
      </c>
      <c r="F128">
        <v>13.24</v>
      </c>
      <c r="G128">
        <v>14.09</v>
      </c>
      <c r="H128">
        <v>6.27</v>
      </c>
      <c r="I128">
        <v>16.579999999999998</v>
      </c>
      <c r="J128">
        <v>75.34</v>
      </c>
      <c r="K128">
        <v>-12.28</v>
      </c>
      <c r="L128">
        <v>70.209999999999994</v>
      </c>
      <c r="M128">
        <v>-35.090000000000003</v>
      </c>
      <c r="N128">
        <v>74.27</v>
      </c>
      <c r="O128">
        <v>-2.64</v>
      </c>
      <c r="P128">
        <v>-10.18</v>
      </c>
      <c r="Q128">
        <v>-2.5299999999999998</v>
      </c>
      <c r="R128">
        <v>25.06</v>
      </c>
      <c r="S128">
        <v>97.82</v>
      </c>
      <c r="T128">
        <v>73.12</v>
      </c>
      <c r="U128">
        <v>61.62</v>
      </c>
      <c r="V128">
        <v>-9.3800000000000008</v>
      </c>
      <c r="W128">
        <v>9.64</v>
      </c>
      <c r="X128">
        <v>126.37</v>
      </c>
      <c r="Y128">
        <v>9.1</v>
      </c>
      <c r="Z128">
        <v>5.19</v>
      </c>
      <c r="AA128">
        <v>-7.18</v>
      </c>
      <c r="AB128">
        <v>0.23</v>
      </c>
      <c r="AC128">
        <v>-22.05</v>
      </c>
      <c r="AD128">
        <v>-52.15</v>
      </c>
      <c r="AE128">
        <v>-31.62</v>
      </c>
      <c r="AF128">
        <v>-10.49</v>
      </c>
      <c r="AG128">
        <v>-36.89</v>
      </c>
      <c r="AH128">
        <v>106.97</v>
      </c>
      <c r="AI128">
        <v>98.93</v>
      </c>
      <c r="AJ128">
        <v>5.41</v>
      </c>
      <c r="AK128">
        <v>-31.98</v>
      </c>
      <c r="AL128">
        <v>-20.5</v>
      </c>
      <c r="AM128">
        <v>3.81</v>
      </c>
      <c r="AN128">
        <v>12.23</v>
      </c>
      <c r="AO128">
        <v>-9.43</v>
      </c>
      <c r="AP128">
        <v>-16.04</v>
      </c>
      <c r="AQ128">
        <v>100.5</v>
      </c>
      <c r="AR128">
        <v>17.149999999999999</v>
      </c>
      <c r="AS128">
        <v>66.459999999999994</v>
      </c>
      <c r="AT128">
        <v>102.78</v>
      </c>
      <c r="AU128">
        <v>-11.58</v>
      </c>
      <c r="AV128">
        <v>-42.39</v>
      </c>
      <c r="AW128">
        <v>-6.78</v>
      </c>
      <c r="AX128">
        <v>102.65</v>
      </c>
      <c r="AY128">
        <v>2.29</v>
      </c>
      <c r="AZ128">
        <v>-1.51</v>
      </c>
      <c r="BA128">
        <v>79.569999999999993</v>
      </c>
      <c r="BB128">
        <v>65.900000000000006</v>
      </c>
      <c r="BC128">
        <v>-8.42</v>
      </c>
      <c r="BD128">
        <v>-9.99</v>
      </c>
      <c r="BE128">
        <v>-25.72</v>
      </c>
      <c r="BF128">
        <v>-17.8</v>
      </c>
      <c r="BG128">
        <v>-31.95</v>
      </c>
      <c r="BH128">
        <v>-19.510000000000002</v>
      </c>
      <c r="BI128">
        <v>91.35</v>
      </c>
      <c r="BJ128">
        <v>-11.82</v>
      </c>
      <c r="BK128">
        <v>78.38</v>
      </c>
      <c r="BL128">
        <v>-11.72</v>
      </c>
      <c r="BM128">
        <v>30.61</v>
      </c>
      <c r="BN128">
        <v>12.37</v>
      </c>
      <c r="BO128">
        <v>35.43</v>
      </c>
    </row>
    <row r="129" spans="1:67">
      <c r="A129" s="19">
        <v>46154</v>
      </c>
      <c r="B129">
        <v>60.67</v>
      </c>
      <c r="C129">
        <v>-29.28</v>
      </c>
      <c r="D129">
        <v>37.64</v>
      </c>
      <c r="E129">
        <v>53.69</v>
      </c>
      <c r="F129">
        <v>13</v>
      </c>
      <c r="G129">
        <v>14.5</v>
      </c>
      <c r="H129">
        <v>6.2</v>
      </c>
      <c r="I129">
        <v>18.04</v>
      </c>
      <c r="J129">
        <v>77.08</v>
      </c>
      <c r="K129">
        <v>-12.28</v>
      </c>
      <c r="L129">
        <v>70.45</v>
      </c>
      <c r="M129">
        <v>-35.479999999999997</v>
      </c>
      <c r="N129">
        <v>74.540000000000006</v>
      </c>
      <c r="O129">
        <v>-2.84</v>
      </c>
      <c r="P129">
        <v>-10.23</v>
      </c>
      <c r="Q129">
        <v>-2.63</v>
      </c>
      <c r="R129">
        <v>24.63</v>
      </c>
      <c r="S129">
        <v>98.48</v>
      </c>
      <c r="T129">
        <v>73.63</v>
      </c>
      <c r="U129">
        <v>61.34</v>
      </c>
      <c r="V129">
        <v>-9.5299999999999994</v>
      </c>
      <c r="W129">
        <v>9.59</v>
      </c>
      <c r="X129">
        <v>125.44</v>
      </c>
      <c r="Y129">
        <v>8.85</v>
      </c>
      <c r="Z129">
        <v>5.19</v>
      </c>
      <c r="AA129">
        <v>-7.22</v>
      </c>
      <c r="AB129">
        <v>-0.23</v>
      </c>
      <c r="AC129">
        <v>-22.2</v>
      </c>
      <c r="AD129">
        <v>-52.51</v>
      </c>
      <c r="AE129">
        <v>-32.049999999999997</v>
      </c>
      <c r="AF129">
        <v>-10.96</v>
      </c>
      <c r="AG129">
        <v>-37.380000000000003</v>
      </c>
      <c r="AH129">
        <v>109.14</v>
      </c>
      <c r="AI129">
        <v>100.52</v>
      </c>
      <c r="AJ129">
        <v>5.23</v>
      </c>
      <c r="AK129">
        <v>-32.369999999999997</v>
      </c>
      <c r="AL129">
        <v>-20.68</v>
      </c>
      <c r="AM129">
        <v>3.47</v>
      </c>
      <c r="AN129">
        <v>12.33</v>
      </c>
      <c r="AO129">
        <v>-9.58</v>
      </c>
      <c r="AP129">
        <v>-14.7</v>
      </c>
      <c r="AQ129">
        <v>101.42</v>
      </c>
      <c r="AR129">
        <v>16.61</v>
      </c>
      <c r="AS129">
        <v>67.47</v>
      </c>
      <c r="AT129">
        <v>102.39</v>
      </c>
      <c r="AU129">
        <v>-11.92</v>
      </c>
      <c r="AV129">
        <v>-42.74</v>
      </c>
      <c r="AW129">
        <v>-6.89</v>
      </c>
      <c r="AX129">
        <v>103.29</v>
      </c>
      <c r="AY129">
        <v>2.34</v>
      </c>
      <c r="AZ129">
        <v>-1.47</v>
      </c>
      <c r="BA129">
        <v>80.73</v>
      </c>
      <c r="BB129">
        <v>67.7</v>
      </c>
      <c r="BC129">
        <v>-8.58</v>
      </c>
      <c r="BD129">
        <v>-10.17</v>
      </c>
      <c r="BE129">
        <v>-26.07</v>
      </c>
      <c r="BF129">
        <v>-18.079999999999998</v>
      </c>
      <c r="BG129">
        <v>-31.86</v>
      </c>
      <c r="BH129">
        <v>-19.75</v>
      </c>
      <c r="BI129">
        <v>90.57</v>
      </c>
      <c r="BJ129">
        <v>-10.93</v>
      </c>
      <c r="BK129">
        <v>77.900000000000006</v>
      </c>
      <c r="BL129">
        <v>-11.71</v>
      </c>
      <c r="BM129">
        <v>30.6</v>
      </c>
      <c r="BN129">
        <v>12.27</v>
      </c>
      <c r="BO129">
        <v>34.82</v>
      </c>
    </row>
    <row r="130" spans="1:67">
      <c r="A130" s="19">
        <v>46155</v>
      </c>
      <c r="B130">
        <v>61.38</v>
      </c>
      <c r="C130">
        <v>-30.29</v>
      </c>
      <c r="D130">
        <v>37.53</v>
      </c>
      <c r="E130">
        <v>53.92</v>
      </c>
      <c r="F130">
        <v>14.1</v>
      </c>
      <c r="G130">
        <v>14.59</v>
      </c>
      <c r="H130">
        <v>6.36</v>
      </c>
      <c r="I130">
        <v>18.18</v>
      </c>
      <c r="J130">
        <v>79.69</v>
      </c>
      <c r="K130">
        <v>-12.28</v>
      </c>
      <c r="L130">
        <v>71.03</v>
      </c>
      <c r="M130">
        <v>-35.380000000000003</v>
      </c>
      <c r="N130">
        <v>74.13</v>
      </c>
      <c r="O130">
        <v>-2.65</v>
      </c>
      <c r="P130">
        <v>-10.220000000000001</v>
      </c>
      <c r="Q130">
        <v>-2.52</v>
      </c>
      <c r="R130">
        <v>25.04</v>
      </c>
      <c r="S130">
        <v>99.33</v>
      </c>
      <c r="T130">
        <v>72.83</v>
      </c>
      <c r="U130">
        <v>61.54</v>
      </c>
      <c r="V130">
        <v>-9.44</v>
      </c>
      <c r="W130">
        <v>9.61</v>
      </c>
      <c r="X130">
        <v>127.09</v>
      </c>
      <c r="Y130">
        <v>9.19</v>
      </c>
      <c r="Z130">
        <v>5.2</v>
      </c>
      <c r="AA130">
        <v>-7.2</v>
      </c>
      <c r="AB130">
        <v>-0.04</v>
      </c>
      <c r="AC130">
        <v>-22.78</v>
      </c>
      <c r="AD130">
        <v>-52.33</v>
      </c>
      <c r="AE130">
        <v>-31.8</v>
      </c>
      <c r="AF130">
        <v>-10.68</v>
      </c>
      <c r="AG130">
        <v>-37.04</v>
      </c>
      <c r="AH130">
        <v>109.64</v>
      </c>
      <c r="AI130">
        <v>99.56</v>
      </c>
      <c r="AJ130">
        <v>5.42</v>
      </c>
      <c r="AK130">
        <v>-32.21</v>
      </c>
      <c r="AL130">
        <v>-20.65</v>
      </c>
      <c r="AM130">
        <v>4.58</v>
      </c>
      <c r="AN130">
        <v>12.37</v>
      </c>
      <c r="AO130">
        <v>-9.48</v>
      </c>
      <c r="AP130">
        <v>-10.99</v>
      </c>
      <c r="AQ130">
        <v>100.6</v>
      </c>
      <c r="AR130">
        <v>17.04</v>
      </c>
      <c r="AS130">
        <v>68.41</v>
      </c>
      <c r="AT130">
        <v>103.26</v>
      </c>
      <c r="AU130">
        <v>-11.73</v>
      </c>
      <c r="AV130">
        <v>-42.74</v>
      </c>
      <c r="AW130">
        <v>-6.71</v>
      </c>
      <c r="AX130">
        <v>103.58</v>
      </c>
      <c r="AY130">
        <v>2.34</v>
      </c>
      <c r="AZ130">
        <v>-1.32</v>
      </c>
      <c r="BA130">
        <v>79.78</v>
      </c>
      <c r="BB130">
        <v>70.22</v>
      </c>
      <c r="BC130">
        <v>-8.44</v>
      </c>
      <c r="BD130">
        <v>-10.06</v>
      </c>
      <c r="BE130">
        <v>-25.71</v>
      </c>
      <c r="BF130">
        <v>-18.02</v>
      </c>
      <c r="BG130">
        <v>-31.96</v>
      </c>
      <c r="BH130">
        <v>-19.61</v>
      </c>
      <c r="BI130">
        <v>91.17</v>
      </c>
      <c r="BJ130">
        <v>-10.8</v>
      </c>
      <c r="BK130">
        <v>78.19</v>
      </c>
      <c r="BL130">
        <v>-11.76</v>
      </c>
      <c r="BM130">
        <v>31.34</v>
      </c>
      <c r="BN130">
        <v>12.32</v>
      </c>
      <c r="BO130">
        <v>35.340000000000003</v>
      </c>
    </row>
    <row r="131" spans="1:67">
      <c r="A131" s="19">
        <v>46156</v>
      </c>
      <c r="B131">
        <v>61.5</v>
      </c>
      <c r="C131">
        <v>-29.54</v>
      </c>
      <c r="D131">
        <v>37.25</v>
      </c>
      <c r="E131">
        <v>53.75</v>
      </c>
      <c r="F131">
        <v>14.24</v>
      </c>
      <c r="G131">
        <v>13.92</v>
      </c>
      <c r="H131">
        <v>6.38</v>
      </c>
      <c r="I131">
        <v>17.86</v>
      </c>
      <c r="J131">
        <v>79.28</v>
      </c>
      <c r="K131">
        <v>-12.26</v>
      </c>
      <c r="L131">
        <v>69.989999999999995</v>
      </c>
      <c r="M131">
        <v>-35.19</v>
      </c>
      <c r="N131">
        <v>74.17</v>
      </c>
      <c r="O131">
        <v>-2.64</v>
      </c>
      <c r="P131">
        <v>-10.24</v>
      </c>
      <c r="Q131">
        <v>-2.54</v>
      </c>
      <c r="R131">
        <v>24.9</v>
      </c>
      <c r="S131">
        <v>100.34</v>
      </c>
      <c r="T131">
        <v>72.69</v>
      </c>
      <c r="U131">
        <v>61.62</v>
      </c>
      <c r="V131">
        <v>-9.49</v>
      </c>
      <c r="W131">
        <v>9.5399999999999991</v>
      </c>
      <c r="X131">
        <v>126.53</v>
      </c>
      <c r="Y131">
        <v>8.9700000000000006</v>
      </c>
      <c r="Z131">
        <v>5.19</v>
      </c>
      <c r="AA131">
        <v>-7.25</v>
      </c>
      <c r="AB131">
        <v>-0.14000000000000001</v>
      </c>
      <c r="AC131">
        <v>-22.74</v>
      </c>
      <c r="AD131">
        <v>-52.24</v>
      </c>
      <c r="AE131">
        <v>-31.82</v>
      </c>
      <c r="AF131">
        <v>-10.61</v>
      </c>
      <c r="AG131">
        <v>-37.130000000000003</v>
      </c>
      <c r="AH131">
        <v>109.64</v>
      </c>
      <c r="AI131">
        <v>99.64</v>
      </c>
      <c r="AJ131">
        <v>5.58</v>
      </c>
      <c r="AK131">
        <v>-32.04</v>
      </c>
      <c r="AL131">
        <v>-20.6</v>
      </c>
      <c r="AM131">
        <v>4.58</v>
      </c>
      <c r="AN131">
        <v>12.36</v>
      </c>
      <c r="AO131">
        <v>-9.41</v>
      </c>
      <c r="AP131">
        <v>-10.67</v>
      </c>
      <c r="AQ131">
        <v>101.18</v>
      </c>
      <c r="AR131">
        <v>17.03</v>
      </c>
      <c r="AS131">
        <v>68.58</v>
      </c>
      <c r="AT131">
        <v>102.51</v>
      </c>
      <c r="AU131">
        <v>-11.72</v>
      </c>
      <c r="AV131">
        <v>-42.68</v>
      </c>
      <c r="AW131">
        <v>-6.79</v>
      </c>
      <c r="AX131">
        <v>104.28</v>
      </c>
      <c r="AY131">
        <v>2.2799999999999998</v>
      </c>
      <c r="AZ131">
        <v>-1.58</v>
      </c>
      <c r="BA131">
        <v>79.91</v>
      </c>
      <c r="BB131">
        <v>70.33</v>
      </c>
      <c r="BC131">
        <v>-8.52</v>
      </c>
      <c r="BD131">
        <v>-10.1</v>
      </c>
      <c r="BE131">
        <v>-25.85</v>
      </c>
      <c r="BF131">
        <v>-17.88</v>
      </c>
      <c r="BG131">
        <v>-31.88</v>
      </c>
      <c r="BH131">
        <v>-19.62</v>
      </c>
      <c r="BI131">
        <v>90.84</v>
      </c>
      <c r="BJ131">
        <v>-11.62</v>
      </c>
      <c r="BK131">
        <v>77.73</v>
      </c>
      <c r="BL131">
        <v>-11.81</v>
      </c>
      <c r="BM131">
        <v>30.66</v>
      </c>
      <c r="BN131">
        <v>12.37</v>
      </c>
      <c r="BO131">
        <v>34.65</v>
      </c>
    </row>
    <row r="132" spans="1:67">
      <c r="A132" s="19">
        <v>46157</v>
      </c>
      <c r="B132">
        <v>62.33</v>
      </c>
      <c r="C132">
        <v>-27.95</v>
      </c>
      <c r="D132">
        <v>37.1</v>
      </c>
      <c r="E132">
        <v>53.91</v>
      </c>
      <c r="F132">
        <v>13.1</v>
      </c>
      <c r="G132">
        <v>13.47</v>
      </c>
      <c r="H132">
        <v>6.46</v>
      </c>
      <c r="I132">
        <v>17.670000000000002</v>
      </c>
      <c r="J132">
        <v>78.099999999999994</v>
      </c>
      <c r="K132">
        <v>-12.24</v>
      </c>
      <c r="L132">
        <v>68</v>
      </c>
      <c r="M132">
        <v>-35.18</v>
      </c>
      <c r="N132">
        <v>74.28</v>
      </c>
      <c r="O132">
        <v>-2.83</v>
      </c>
      <c r="P132">
        <v>-10.32</v>
      </c>
      <c r="Q132">
        <v>-2.6</v>
      </c>
      <c r="R132">
        <v>23.88</v>
      </c>
      <c r="S132">
        <v>103.39</v>
      </c>
      <c r="T132">
        <v>72.87</v>
      </c>
      <c r="U132">
        <v>60.98</v>
      </c>
      <c r="V132">
        <v>-9.7100000000000009</v>
      </c>
      <c r="W132">
        <v>9.33</v>
      </c>
      <c r="X132">
        <v>123.42</v>
      </c>
      <c r="Y132">
        <v>8.5</v>
      </c>
      <c r="Z132">
        <v>5.16</v>
      </c>
      <c r="AA132">
        <v>-7.44</v>
      </c>
      <c r="AB132">
        <v>-0.27</v>
      </c>
      <c r="AC132">
        <v>-22.44</v>
      </c>
      <c r="AD132">
        <v>-52.23</v>
      </c>
      <c r="AE132">
        <v>-32.51</v>
      </c>
      <c r="AF132">
        <v>-10.94</v>
      </c>
      <c r="AG132">
        <v>-37.74</v>
      </c>
      <c r="AH132">
        <v>111</v>
      </c>
      <c r="AI132">
        <v>100.37</v>
      </c>
      <c r="AJ132">
        <v>5.49</v>
      </c>
      <c r="AK132">
        <v>-32.24</v>
      </c>
      <c r="AL132">
        <v>-20.72</v>
      </c>
      <c r="AM132">
        <v>4.67</v>
      </c>
      <c r="AN132">
        <v>12.36</v>
      </c>
      <c r="AO132">
        <v>-9.33</v>
      </c>
      <c r="AP132">
        <v>-11.16</v>
      </c>
      <c r="AQ132">
        <v>103.57</v>
      </c>
      <c r="AR132">
        <v>17.11</v>
      </c>
      <c r="AS132">
        <v>69.28</v>
      </c>
      <c r="AT132">
        <v>100.35</v>
      </c>
      <c r="AU132">
        <v>-12.06</v>
      </c>
      <c r="AV132">
        <v>-43.26</v>
      </c>
      <c r="AW132">
        <v>-7</v>
      </c>
      <c r="AX132">
        <v>107.43</v>
      </c>
      <c r="AY132">
        <v>2.2400000000000002</v>
      </c>
      <c r="AZ132">
        <v>-2.13</v>
      </c>
      <c r="BA132">
        <v>81.53</v>
      </c>
      <c r="BB132">
        <v>70.2</v>
      </c>
      <c r="BC132">
        <v>-8.7200000000000006</v>
      </c>
      <c r="BD132">
        <v>-10.26</v>
      </c>
      <c r="BE132">
        <v>-26.1</v>
      </c>
      <c r="BF132">
        <v>-18.11</v>
      </c>
      <c r="BG132">
        <v>-31.67</v>
      </c>
      <c r="BH132">
        <v>-19.88</v>
      </c>
      <c r="BI132">
        <v>88.94</v>
      </c>
      <c r="BJ132">
        <v>-12.48</v>
      </c>
      <c r="BK132">
        <v>76.45</v>
      </c>
      <c r="BL132">
        <v>-11.75</v>
      </c>
      <c r="BM132">
        <v>30.39</v>
      </c>
      <c r="BN132">
        <v>12.37</v>
      </c>
      <c r="BO132">
        <v>33.409999999999997</v>
      </c>
    </row>
    <row r="133" spans="1:67">
      <c r="A133" s="19">
        <v>46160</v>
      </c>
      <c r="B133">
        <v>63.18</v>
      </c>
      <c r="C133">
        <v>-28.12</v>
      </c>
      <c r="D133">
        <v>37.69</v>
      </c>
      <c r="E133">
        <v>54.19</v>
      </c>
      <c r="F133">
        <v>13.25</v>
      </c>
      <c r="G133">
        <v>13.8</v>
      </c>
      <c r="H133">
        <v>6.47</v>
      </c>
      <c r="I133">
        <v>18.5</v>
      </c>
      <c r="J133">
        <v>79.12</v>
      </c>
      <c r="K133">
        <v>-12.25</v>
      </c>
      <c r="L133">
        <v>67.95</v>
      </c>
      <c r="M133">
        <v>-35.4</v>
      </c>
      <c r="N133">
        <v>74.069999999999993</v>
      </c>
      <c r="O133">
        <v>-3.09</v>
      </c>
      <c r="P133">
        <v>-10.28</v>
      </c>
      <c r="Q133">
        <v>-2.62</v>
      </c>
      <c r="R133">
        <v>23.35</v>
      </c>
      <c r="S133">
        <v>104.01</v>
      </c>
      <c r="T133">
        <v>72.59</v>
      </c>
      <c r="U133">
        <v>60.62</v>
      </c>
      <c r="V133">
        <v>-9.76</v>
      </c>
      <c r="W133">
        <v>9.2899999999999991</v>
      </c>
      <c r="X133">
        <v>122.62</v>
      </c>
      <c r="Y133">
        <v>8.18</v>
      </c>
      <c r="Z133">
        <v>5.14</v>
      </c>
      <c r="AA133">
        <v>-7.38</v>
      </c>
      <c r="AB133">
        <v>-0.38</v>
      </c>
      <c r="AC133">
        <v>-22.55</v>
      </c>
      <c r="AD133">
        <v>-52.34</v>
      </c>
      <c r="AE133">
        <v>-32.82</v>
      </c>
      <c r="AF133">
        <v>-11.42</v>
      </c>
      <c r="AG133">
        <v>-38</v>
      </c>
      <c r="AH133">
        <v>112.73</v>
      </c>
      <c r="AI133">
        <v>100.74</v>
      </c>
      <c r="AJ133">
        <v>5.23</v>
      </c>
      <c r="AK133">
        <v>-32.53</v>
      </c>
      <c r="AL133">
        <v>-20.92</v>
      </c>
      <c r="AM133">
        <v>4.9800000000000004</v>
      </c>
      <c r="AN133">
        <v>12.34</v>
      </c>
      <c r="AO133">
        <v>-9.31</v>
      </c>
      <c r="AP133">
        <v>-10.39</v>
      </c>
      <c r="AQ133">
        <v>104</v>
      </c>
      <c r="AR133">
        <v>16.91</v>
      </c>
      <c r="AS133">
        <v>70.069999999999993</v>
      </c>
      <c r="AT133">
        <v>100.05</v>
      </c>
      <c r="AU133">
        <v>-12.31</v>
      </c>
      <c r="AV133">
        <v>-43.7</v>
      </c>
      <c r="AW133">
        <v>-6.94</v>
      </c>
      <c r="AX133">
        <v>108.15</v>
      </c>
      <c r="AY133">
        <v>2.41</v>
      </c>
      <c r="AZ133">
        <v>-2.06</v>
      </c>
      <c r="BA133">
        <v>82.11</v>
      </c>
      <c r="BB133">
        <v>71.44</v>
      </c>
      <c r="BC133">
        <v>-8.7899999999999991</v>
      </c>
      <c r="BD133">
        <v>-10.31</v>
      </c>
      <c r="BE133">
        <v>-26.21</v>
      </c>
      <c r="BF133">
        <v>-18.41</v>
      </c>
      <c r="BG133">
        <v>-31.7</v>
      </c>
      <c r="BH133">
        <v>-20.03</v>
      </c>
      <c r="BI133">
        <v>88.64</v>
      </c>
      <c r="BJ133">
        <v>-11.59</v>
      </c>
      <c r="BK133">
        <v>76.02</v>
      </c>
      <c r="BL133">
        <v>-11.5</v>
      </c>
      <c r="BM133">
        <v>30.81</v>
      </c>
      <c r="BN133">
        <v>12.23</v>
      </c>
      <c r="BO133">
        <v>33</v>
      </c>
    </row>
  </sheetData>
  <mergeCells count="1">
    <mergeCell ref="F1:H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6"/>
  <sheetViews>
    <sheetView workbookViewId="0">
      <pane xSplit="1" ySplit="5" topLeftCell="B126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2" width="13" customWidth="1"/>
    <col min="3" max="3" width="15.28515625" bestFit="1" customWidth="1"/>
    <col min="4" max="5" width="13" customWidth="1"/>
  </cols>
  <sheetData>
    <row r="1" spans="1:5" ht="18">
      <c r="A1" s="1" t="s">
        <v>165</v>
      </c>
    </row>
    <row r="2" spans="1:5">
      <c r="A2" s="2" t="s">
        <v>161</v>
      </c>
    </row>
    <row r="3" spans="1:5">
      <c r="B3" s="6" t="s">
        <v>162</v>
      </c>
      <c r="C3" s="6" t="s">
        <v>63</v>
      </c>
      <c r="D3" s="6" t="s">
        <v>164</v>
      </c>
      <c r="E3" s="6" t="s">
        <v>69</v>
      </c>
    </row>
    <row r="4" spans="1:5">
      <c r="A4" s="7" t="s">
        <v>110</v>
      </c>
      <c r="B4" s="8" t="s">
        <v>76</v>
      </c>
      <c r="C4" s="8" t="s">
        <v>84</v>
      </c>
      <c r="D4" s="8" t="s">
        <v>92</v>
      </c>
      <c r="E4" s="8" t="s">
        <v>102</v>
      </c>
    </row>
    <row r="5" spans="1:5">
      <c r="A5" s="9" t="s">
        <v>111</v>
      </c>
      <c r="B5" s="10" t="s">
        <v>254</v>
      </c>
      <c r="C5" s="10" t="s">
        <v>255</v>
      </c>
      <c r="D5" s="10" t="s">
        <v>180</v>
      </c>
      <c r="E5" s="10" t="s">
        <v>181</v>
      </c>
    </row>
    <row r="6" spans="1:5">
      <c r="A6" s="17">
        <f>_xll.BQL($B$5:$E$5, "dropna(px_last(dates=range(-180D,0D), per=D))", "showids", "false", "showheaders", "false", "showallcols", "false","cols=5;rows=131")</f>
        <v>45981</v>
      </c>
      <c r="B6" s="15">
        <v>0.46395799999999998</v>
      </c>
      <c r="C6" s="15" t="e">
        <v>#N/A</v>
      </c>
      <c r="D6" s="15">
        <v>0.62243199999999999</v>
      </c>
      <c r="E6" s="15">
        <v>1.1578269999999999</v>
      </c>
    </row>
    <row r="7" spans="1:5">
      <c r="A7" s="18">
        <v>45982</v>
      </c>
      <c r="B7" s="15">
        <v>0.572183</v>
      </c>
      <c r="C7" s="15" t="e">
        <v>#N/A</v>
      </c>
      <c r="D7" s="15">
        <v>0.52349800000000002</v>
      </c>
      <c r="E7" s="15">
        <v>1.0263530000000001</v>
      </c>
    </row>
    <row r="8" spans="1:5">
      <c r="A8" s="17">
        <v>45985</v>
      </c>
      <c r="B8" s="15">
        <v>0.70157199999999997</v>
      </c>
      <c r="C8" s="15" t="e">
        <v>#N/A</v>
      </c>
      <c r="D8" s="15">
        <v>0.77889699999999995</v>
      </c>
      <c r="E8" s="15">
        <v>1.1792210000000001</v>
      </c>
    </row>
    <row r="9" spans="1:5">
      <c r="A9" s="18">
        <v>45986</v>
      </c>
      <c r="B9" s="15">
        <v>0.72051299999999996</v>
      </c>
      <c r="C9" s="15" t="e">
        <v>#N/A</v>
      </c>
      <c r="D9" s="15">
        <v>0.86205399999999999</v>
      </c>
      <c r="E9" s="15">
        <v>1.1482019999999999</v>
      </c>
    </row>
    <row r="10" spans="1:5">
      <c r="A10" s="17">
        <v>45987</v>
      </c>
      <c r="B10" s="15">
        <v>0.971055</v>
      </c>
      <c r="C10" s="15" t="e">
        <v>#N/A</v>
      </c>
      <c r="D10" s="15">
        <v>0.93886599999999998</v>
      </c>
      <c r="E10" s="15">
        <v>1.207803</v>
      </c>
    </row>
    <row r="11" spans="1:5">
      <c r="A11" s="18">
        <v>45988</v>
      </c>
      <c r="B11" s="15">
        <v>0.98256299999999996</v>
      </c>
      <c r="C11" s="15" t="e">
        <v>#N/A</v>
      </c>
      <c r="D11" s="15">
        <v>1.016999</v>
      </c>
      <c r="E11" s="15">
        <v>1.25278</v>
      </c>
    </row>
    <row r="12" spans="1:5">
      <c r="A12" s="17">
        <v>45989</v>
      </c>
      <c r="B12" s="15">
        <v>0.97730099999999998</v>
      </c>
      <c r="C12" s="15" t="e">
        <v>#N/A</v>
      </c>
      <c r="D12" s="15">
        <v>0.98675199999999996</v>
      </c>
      <c r="E12" s="15">
        <v>1.2319230000000001</v>
      </c>
    </row>
    <row r="13" spans="1:5">
      <c r="A13" s="18">
        <v>45991</v>
      </c>
      <c r="B13" s="15" t="e">
        <v>#N/A</v>
      </c>
      <c r="C13" s="15">
        <v>-0.56999999999999995</v>
      </c>
      <c r="D13" s="15" t="e">
        <v>#N/A</v>
      </c>
      <c r="E13" s="15" t="e">
        <v>#N/A</v>
      </c>
    </row>
    <row r="14" spans="1:5">
      <c r="A14" s="17">
        <v>45992</v>
      </c>
      <c r="B14" s="15">
        <v>0.90873199999999998</v>
      </c>
      <c r="C14" s="15" t="e">
        <v>#N/A</v>
      </c>
      <c r="D14" s="15">
        <v>1.0024230000000001</v>
      </c>
      <c r="E14" s="15">
        <v>1.377006</v>
      </c>
    </row>
    <row r="15" spans="1:5">
      <c r="A15" s="18">
        <v>45993</v>
      </c>
      <c r="B15" s="15">
        <v>0.94028299999999998</v>
      </c>
      <c r="C15" s="15" t="e">
        <v>#N/A</v>
      </c>
      <c r="D15" s="15">
        <v>0.99395500000000003</v>
      </c>
      <c r="E15" s="15">
        <v>1.4647269999999999</v>
      </c>
    </row>
    <row r="16" spans="1:5">
      <c r="A16" s="17">
        <v>45994</v>
      </c>
      <c r="B16" s="15">
        <v>0.90289600000000003</v>
      </c>
      <c r="C16" s="15" t="e">
        <v>#N/A</v>
      </c>
      <c r="D16" s="15">
        <v>0.99690699999999999</v>
      </c>
      <c r="E16" s="15">
        <v>1.508011</v>
      </c>
    </row>
    <row r="17" spans="1:5">
      <c r="A17" s="18">
        <v>45995</v>
      </c>
      <c r="B17" s="15">
        <v>0.96004400000000001</v>
      </c>
      <c r="C17" s="15" t="e">
        <v>#N/A</v>
      </c>
      <c r="D17" s="15">
        <v>1.061423</v>
      </c>
      <c r="E17" s="15">
        <v>1.4537720000000001</v>
      </c>
    </row>
    <row r="18" spans="1:5">
      <c r="A18" s="17">
        <v>45996</v>
      </c>
      <c r="B18" s="15">
        <v>0.94623599999999997</v>
      </c>
      <c r="C18" s="15" t="e">
        <v>#N/A</v>
      </c>
      <c r="D18" s="15">
        <v>1.0663419999999999</v>
      </c>
      <c r="E18" s="15">
        <v>1.4467319999999999</v>
      </c>
    </row>
    <row r="19" spans="1:5">
      <c r="A19" s="18">
        <v>45999</v>
      </c>
      <c r="B19" s="15">
        <v>0.93300099999999997</v>
      </c>
      <c r="C19" s="15" t="e">
        <v>#N/A</v>
      </c>
      <c r="D19" s="15">
        <v>0.91531899999999999</v>
      </c>
      <c r="E19" s="15">
        <v>1.402633</v>
      </c>
    </row>
    <row r="20" spans="1:5">
      <c r="A20" s="17">
        <v>46000</v>
      </c>
      <c r="B20" s="15">
        <v>0.91979999999999995</v>
      </c>
      <c r="C20" s="15" t="e">
        <v>#N/A</v>
      </c>
      <c r="D20" s="15">
        <v>0.95536399999999999</v>
      </c>
      <c r="E20" s="15">
        <v>1.3484160000000001</v>
      </c>
    </row>
    <row r="21" spans="1:5">
      <c r="A21" s="18">
        <v>46001</v>
      </c>
      <c r="B21" s="15">
        <v>0.94625999999999999</v>
      </c>
      <c r="C21" s="15" t="e">
        <v>#N/A</v>
      </c>
      <c r="D21" s="15">
        <v>0.933647</v>
      </c>
      <c r="E21" s="15">
        <v>1.357437</v>
      </c>
    </row>
    <row r="22" spans="1:5">
      <c r="A22" s="17">
        <v>46002</v>
      </c>
      <c r="B22" s="15">
        <v>1.0336609999999999</v>
      </c>
      <c r="C22" s="15" t="e">
        <v>#N/A</v>
      </c>
      <c r="D22" s="15">
        <v>1.011943</v>
      </c>
      <c r="E22" s="15">
        <v>1.406825</v>
      </c>
    </row>
    <row r="23" spans="1:5">
      <c r="A23" s="18">
        <v>46003</v>
      </c>
      <c r="B23" s="15">
        <v>0.92484699999999997</v>
      </c>
      <c r="C23" s="15" t="e">
        <v>#N/A</v>
      </c>
      <c r="D23" s="15">
        <v>0.94886899999999996</v>
      </c>
      <c r="E23" s="15">
        <v>1.34212</v>
      </c>
    </row>
    <row r="24" spans="1:5">
      <c r="A24" s="17">
        <v>46006</v>
      </c>
      <c r="B24" s="15">
        <v>0.878278</v>
      </c>
      <c r="C24" s="15" t="e">
        <v>#N/A</v>
      </c>
      <c r="D24" s="15">
        <v>1.051439</v>
      </c>
      <c r="E24" s="15">
        <v>1.397443</v>
      </c>
    </row>
    <row r="25" spans="1:5">
      <c r="A25" s="18">
        <v>46007</v>
      </c>
      <c r="B25" s="15">
        <v>0.83701700000000001</v>
      </c>
      <c r="C25" s="15" t="e">
        <v>#N/A</v>
      </c>
      <c r="D25" s="15">
        <v>0.937199</v>
      </c>
      <c r="E25" s="15">
        <v>1.421896</v>
      </c>
    </row>
    <row r="26" spans="1:5">
      <c r="A26" s="17">
        <v>46008</v>
      </c>
      <c r="B26" s="15">
        <v>0.81564199999999998</v>
      </c>
      <c r="C26" s="15" t="e">
        <v>#N/A</v>
      </c>
      <c r="D26" s="15">
        <v>0.984568</v>
      </c>
      <c r="E26" s="15">
        <v>1.429913</v>
      </c>
    </row>
    <row r="27" spans="1:5">
      <c r="A27" s="18">
        <v>46009</v>
      </c>
      <c r="B27" s="15">
        <v>0.83673200000000003</v>
      </c>
      <c r="C27" s="15" t="e">
        <v>#N/A</v>
      </c>
      <c r="D27" s="15">
        <v>1.039107</v>
      </c>
      <c r="E27" s="15">
        <v>1.501914</v>
      </c>
    </row>
    <row r="28" spans="1:5">
      <c r="A28" s="17">
        <v>46010</v>
      </c>
      <c r="B28" s="15">
        <v>0.94897100000000001</v>
      </c>
      <c r="C28" s="15" t="e">
        <v>#N/A</v>
      </c>
      <c r="D28" s="15">
        <v>1.0795079999999999</v>
      </c>
      <c r="E28" s="15">
        <v>1.6364270000000001</v>
      </c>
    </row>
    <row r="29" spans="1:5">
      <c r="A29" s="18">
        <v>46013</v>
      </c>
      <c r="B29" s="15">
        <v>1.0045649999999999</v>
      </c>
      <c r="C29" s="15" t="e">
        <v>#N/A</v>
      </c>
      <c r="D29" s="15">
        <v>1.0861559999999999</v>
      </c>
      <c r="E29" s="15">
        <v>1.568457</v>
      </c>
    </row>
    <row r="30" spans="1:5">
      <c r="A30" s="17">
        <v>46014</v>
      </c>
      <c r="B30" s="15">
        <v>0.995116</v>
      </c>
      <c r="C30" s="15" t="e">
        <v>#N/A</v>
      </c>
      <c r="D30" s="15">
        <v>1.2023729999999999</v>
      </c>
      <c r="E30" s="15">
        <v>1.6103069999999999</v>
      </c>
    </row>
    <row r="31" spans="1:5">
      <c r="A31" s="18">
        <v>46015</v>
      </c>
      <c r="B31" s="15">
        <v>1.1086819999999999</v>
      </c>
      <c r="C31" s="15" t="e">
        <v>#N/A</v>
      </c>
      <c r="D31" s="15">
        <v>1.487344</v>
      </c>
      <c r="E31" s="15">
        <v>1.639462</v>
      </c>
    </row>
    <row r="32" spans="1:5">
      <c r="A32" s="17">
        <v>46016</v>
      </c>
      <c r="B32" s="15">
        <v>1.110487</v>
      </c>
      <c r="C32" s="15" t="e">
        <v>#N/A</v>
      </c>
      <c r="D32" s="15">
        <v>1.012478</v>
      </c>
      <c r="E32" s="15">
        <v>1.639022</v>
      </c>
    </row>
    <row r="33" spans="1:5">
      <c r="A33" s="18">
        <v>46017</v>
      </c>
      <c r="B33" s="15">
        <v>1.0569820000000001</v>
      </c>
      <c r="C33" s="15" t="e">
        <v>#N/A</v>
      </c>
      <c r="D33" s="15">
        <v>1.0187120000000001</v>
      </c>
      <c r="E33" s="15">
        <v>1.640808</v>
      </c>
    </row>
    <row r="34" spans="1:5">
      <c r="A34" s="17">
        <v>46020</v>
      </c>
      <c r="B34" s="15">
        <v>1.0302899999999999</v>
      </c>
      <c r="C34" s="15" t="e">
        <v>#N/A</v>
      </c>
      <c r="D34" s="15">
        <v>1.145669</v>
      </c>
      <c r="E34" s="15">
        <v>1.463546</v>
      </c>
    </row>
    <row r="35" spans="1:5">
      <c r="A35" s="18">
        <v>46021</v>
      </c>
      <c r="B35" s="15">
        <v>0.96129399999999998</v>
      </c>
      <c r="C35" s="15" t="e">
        <v>#N/A</v>
      </c>
      <c r="D35" s="15">
        <v>1.144668</v>
      </c>
      <c r="E35" s="15">
        <v>1.535067</v>
      </c>
    </row>
    <row r="36" spans="1:5">
      <c r="A36" s="17">
        <v>46022</v>
      </c>
      <c r="B36" s="15">
        <v>1.061787</v>
      </c>
      <c r="C36" s="15">
        <v>-1.01</v>
      </c>
      <c r="D36" s="15">
        <v>1.4245000000000001</v>
      </c>
      <c r="E36" s="15">
        <v>1.6354470000000001</v>
      </c>
    </row>
    <row r="37" spans="1:5">
      <c r="A37" s="18">
        <v>46023</v>
      </c>
      <c r="B37" s="15">
        <v>1.085062</v>
      </c>
      <c r="C37" s="15" t="e">
        <v>#N/A</v>
      </c>
      <c r="D37" s="15">
        <v>1.1811990000000001</v>
      </c>
      <c r="E37" s="15">
        <v>1.635011</v>
      </c>
    </row>
    <row r="38" spans="1:5">
      <c r="A38" s="17">
        <v>46024</v>
      </c>
      <c r="B38" s="15">
        <v>1.1107670000000001</v>
      </c>
      <c r="C38" s="15" t="e">
        <v>#N/A</v>
      </c>
      <c r="D38" s="15">
        <v>1.163089</v>
      </c>
      <c r="E38" s="15">
        <v>1.608954</v>
      </c>
    </row>
    <row r="39" spans="1:5">
      <c r="A39" s="18">
        <v>46027</v>
      </c>
      <c r="B39" s="15">
        <v>1.1301049999999999</v>
      </c>
      <c r="C39" s="15" t="e">
        <v>#N/A</v>
      </c>
      <c r="D39" s="15">
        <v>1.137148</v>
      </c>
      <c r="E39" s="15">
        <v>1.6389640000000001</v>
      </c>
    </row>
    <row r="40" spans="1:5">
      <c r="A40" s="17">
        <v>46028</v>
      </c>
      <c r="B40" s="15">
        <v>1.1329750000000001</v>
      </c>
      <c r="C40" s="15" t="e">
        <v>#N/A</v>
      </c>
      <c r="D40" s="15">
        <v>1.144112</v>
      </c>
      <c r="E40" s="15">
        <v>1.6067819999999999</v>
      </c>
    </row>
    <row r="41" spans="1:5">
      <c r="A41" s="18">
        <v>46029</v>
      </c>
      <c r="B41" s="15">
        <v>1.129715</v>
      </c>
      <c r="C41" s="15" t="e">
        <v>#N/A</v>
      </c>
      <c r="D41" s="15">
        <v>1.1608449999999999</v>
      </c>
      <c r="E41" s="15">
        <v>1.5924659999999999</v>
      </c>
    </row>
    <row r="42" spans="1:5">
      <c r="A42" s="17">
        <v>46030</v>
      </c>
      <c r="B42" s="15">
        <v>1.1501170000000001</v>
      </c>
      <c r="C42" s="15" t="e">
        <v>#N/A</v>
      </c>
      <c r="D42" s="15">
        <v>1.233053</v>
      </c>
      <c r="E42" s="15">
        <v>1.646409</v>
      </c>
    </row>
    <row r="43" spans="1:5">
      <c r="A43" s="18">
        <v>46031</v>
      </c>
      <c r="B43" s="15">
        <v>1.212388</v>
      </c>
      <c r="C43" s="15" t="e">
        <v>#N/A</v>
      </c>
      <c r="D43" s="15">
        <v>1.18912</v>
      </c>
      <c r="E43" s="15">
        <v>1.743727</v>
      </c>
    </row>
    <row r="44" spans="1:5">
      <c r="A44" s="17">
        <v>46034</v>
      </c>
      <c r="B44" s="15">
        <v>1.226356</v>
      </c>
      <c r="C44" s="15" t="e">
        <v>#N/A</v>
      </c>
      <c r="D44" s="15">
        <v>1.2697719999999999</v>
      </c>
      <c r="E44" s="15">
        <v>1.7167129999999999</v>
      </c>
    </row>
    <row r="45" spans="1:5">
      <c r="A45" s="18">
        <v>46035</v>
      </c>
      <c r="B45" s="15">
        <v>1.212021</v>
      </c>
      <c r="C45" s="15" t="e">
        <v>#N/A</v>
      </c>
      <c r="D45" s="15">
        <v>1.274686</v>
      </c>
      <c r="E45" s="15">
        <v>1.6780219999999999</v>
      </c>
    </row>
    <row r="46" spans="1:5">
      <c r="A46" s="17">
        <v>46036</v>
      </c>
      <c r="B46" s="15">
        <v>1.160236</v>
      </c>
      <c r="C46" s="15" t="e">
        <v>#N/A</v>
      </c>
      <c r="D46" s="15">
        <v>1.170677</v>
      </c>
      <c r="E46" s="15">
        <v>1.5639400000000001</v>
      </c>
    </row>
    <row r="47" spans="1:5">
      <c r="A47" s="18">
        <v>46037</v>
      </c>
      <c r="B47" s="15">
        <v>1.2275769999999999</v>
      </c>
      <c r="C47" s="15" t="e">
        <v>#N/A</v>
      </c>
      <c r="D47" s="15">
        <v>1.2892969999999999</v>
      </c>
      <c r="E47" s="15">
        <v>1.671735</v>
      </c>
    </row>
    <row r="48" spans="1:5">
      <c r="A48" s="17">
        <v>46038</v>
      </c>
      <c r="B48" s="15">
        <v>1.2237499999999999</v>
      </c>
      <c r="C48" s="15" t="e">
        <v>#N/A</v>
      </c>
      <c r="D48" s="15">
        <v>1.253298</v>
      </c>
      <c r="E48" s="15">
        <v>1.661292</v>
      </c>
    </row>
    <row r="49" spans="1:5">
      <c r="A49" s="18">
        <v>46041</v>
      </c>
      <c r="B49" s="15">
        <v>1.095359</v>
      </c>
      <c r="C49" s="15" t="e">
        <v>#N/A</v>
      </c>
      <c r="D49" s="15">
        <v>1.1616880000000001</v>
      </c>
      <c r="E49" s="15">
        <v>1.496302</v>
      </c>
    </row>
    <row r="50" spans="1:5">
      <c r="A50" s="17">
        <v>46042</v>
      </c>
      <c r="B50" s="15">
        <v>1.0478240000000001</v>
      </c>
      <c r="C50" s="15" t="e">
        <v>#N/A</v>
      </c>
      <c r="D50" s="15">
        <v>1.1054999999999999</v>
      </c>
      <c r="E50" s="15">
        <v>1.4752350000000001</v>
      </c>
    </row>
    <row r="51" spans="1:5">
      <c r="A51" s="18">
        <v>46043</v>
      </c>
      <c r="B51" s="15">
        <v>1.2148540000000001</v>
      </c>
      <c r="C51" s="15" t="e">
        <v>#N/A</v>
      </c>
      <c r="D51" s="15">
        <v>1.1513990000000001</v>
      </c>
      <c r="E51" s="15">
        <v>1.509747</v>
      </c>
    </row>
    <row r="52" spans="1:5">
      <c r="A52" s="17">
        <v>46044</v>
      </c>
      <c r="B52" s="15">
        <v>1.275687</v>
      </c>
      <c r="C52" s="15" t="e">
        <v>#N/A</v>
      </c>
      <c r="D52" s="15">
        <v>1.244305</v>
      </c>
      <c r="E52" s="15">
        <v>1.588425</v>
      </c>
    </row>
    <row r="53" spans="1:5">
      <c r="A53" s="18">
        <v>46045</v>
      </c>
      <c r="B53" s="15">
        <v>1.232529</v>
      </c>
      <c r="C53" s="15" t="e">
        <v>#N/A</v>
      </c>
      <c r="D53" s="15">
        <v>1.2008080000000001</v>
      </c>
      <c r="E53" s="15">
        <v>1.582522</v>
      </c>
    </row>
    <row r="54" spans="1:5">
      <c r="A54" s="17">
        <v>46048</v>
      </c>
      <c r="B54" s="15">
        <v>1.245026</v>
      </c>
      <c r="C54" s="15" t="e">
        <v>#N/A</v>
      </c>
      <c r="D54" s="15">
        <v>1.155419</v>
      </c>
      <c r="E54" s="15">
        <v>1.5314140000000001</v>
      </c>
    </row>
    <row r="55" spans="1:5">
      <c r="A55" s="18">
        <v>46049</v>
      </c>
      <c r="B55" s="15">
        <v>1.247004</v>
      </c>
      <c r="C55" s="15" t="e">
        <v>#N/A</v>
      </c>
      <c r="D55" s="15">
        <v>1.1861060000000001</v>
      </c>
      <c r="E55" s="15">
        <v>1.5516110000000001</v>
      </c>
    </row>
    <row r="56" spans="1:5">
      <c r="A56" s="17">
        <v>46050</v>
      </c>
      <c r="B56" s="15">
        <v>1.297275</v>
      </c>
      <c r="C56" s="15" t="e">
        <v>#N/A</v>
      </c>
      <c r="D56" s="15">
        <v>1.199022</v>
      </c>
      <c r="E56" s="15">
        <v>1.619785</v>
      </c>
    </row>
    <row r="57" spans="1:5">
      <c r="A57" s="18">
        <v>46051</v>
      </c>
      <c r="B57" s="15">
        <v>1.253293</v>
      </c>
      <c r="C57" s="15" t="e">
        <v>#N/A</v>
      </c>
      <c r="D57" s="15">
        <v>1.075739</v>
      </c>
      <c r="E57" s="15">
        <v>1.5463389999999999</v>
      </c>
    </row>
    <row r="58" spans="1:5">
      <c r="A58" s="17">
        <v>46052</v>
      </c>
      <c r="B58" s="15">
        <v>1.242354</v>
      </c>
      <c r="C58" s="15" t="e">
        <v>#N/A</v>
      </c>
      <c r="D58" s="15">
        <v>1.1444890000000001</v>
      </c>
      <c r="E58" s="15">
        <v>1.525623</v>
      </c>
    </row>
    <row r="59" spans="1:5">
      <c r="A59" s="18">
        <v>46053</v>
      </c>
      <c r="B59" s="15" t="e">
        <v>#N/A</v>
      </c>
      <c r="C59" s="15">
        <v>-0.15</v>
      </c>
      <c r="D59" s="15" t="e">
        <v>#N/A</v>
      </c>
      <c r="E59" s="15" t="e">
        <v>#N/A</v>
      </c>
    </row>
    <row r="60" spans="1:5">
      <c r="A60" s="17">
        <v>46055</v>
      </c>
      <c r="B60" s="15">
        <v>1.3208169999999999</v>
      </c>
      <c r="C60" s="15" t="e">
        <v>#N/A</v>
      </c>
      <c r="D60" s="15">
        <v>1.1866840000000001</v>
      </c>
      <c r="E60" s="15">
        <v>1.6652279999999999</v>
      </c>
    </row>
    <row r="61" spans="1:5">
      <c r="A61" s="18">
        <v>46056</v>
      </c>
      <c r="B61" s="15">
        <v>1.2246030000000001</v>
      </c>
      <c r="C61" s="15" t="e">
        <v>#N/A</v>
      </c>
      <c r="D61" s="15">
        <v>1.202431</v>
      </c>
      <c r="E61" s="15">
        <v>1.6085259999999999</v>
      </c>
    </row>
    <row r="62" spans="1:5">
      <c r="A62" s="17">
        <v>46057</v>
      </c>
      <c r="B62" s="15">
        <v>1.235552</v>
      </c>
      <c r="C62" s="15" t="e">
        <v>#N/A</v>
      </c>
      <c r="D62" s="15">
        <v>1.176963</v>
      </c>
      <c r="E62" s="15">
        <v>1.5355989999999999</v>
      </c>
    </row>
    <row r="63" spans="1:5">
      <c r="A63" s="18">
        <v>46058</v>
      </c>
      <c r="B63" s="15">
        <v>1.010086</v>
      </c>
      <c r="C63" s="15" t="e">
        <v>#N/A</v>
      </c>
      <c r="D63" s="15">
        <v>1.07298</v>
      </c>
      <c r="E63" s="15">
        <v>1.512265</v>
      </c>
    </row>
    <row r="64" spans="1:5">
      <c r="A64" s="17">
        <v>46059</v>
      </c>
      <c r="B64" s="15">
        <v>1.2444390000000001</v>
      </c>
      <c r="C64" s="15" t="e">
        <v>#N/A</v>
      </c>
      <c r="D64" s="15">
        <v>1.130744</v>
      </c>
      <c r="E64" s="15">
        <v>1.704256</v>
      </c>
    </row>
    <row r="65" spans="1:5">
      <c r="A65" s="18">
        <v>46062</v>
      </c>
      <c r="B65" s="15">
        <v>1.302268</v>
      </c>
      <c r="C65" s="15" t="e">
        <v>#N/A</v>
      </c>
      <c r="D65" s="15">
        <v>1.1801010000000001</v>
      </c>
      <c r="E65" s="15">
        <v>1.742804</v>
      </c>
    </row>
    <row r="66" spans="1:5">
      <c r="A66" s="17">
        <v>46063</v>
      </c>
      <c r="B66" s="15">
        <v>1.232135</v>
      </c>
      <c r="C66" s="15" t="e">
        <v>#N/A</v>
      </c>
      <c r="D66" s="15">
        <v>1.1524239999999999</v>
      </c>
      <c r="E66" s="15">
        <v>1.7270490000000001</v>
      </c>
    </row>
    <row r="67" spans="1:5">
      <c r="A67" s="18">
        <v>46064</v>
      </c>
      <c r="B67" s="15">
        <v>1.27237</v>
      </c>
      <c r="C67" s="15" t="e">
        <v>#N/A</v>
      </c>
      <c r="D67" s="15">
        <v>1.1752670000000001</v>
      </c>
      <c r="E67" s="15">
        <v>1.6933229999999999</v>
      </c>
    </row>
    <row r="68" spans="1:5">
      <c r="A68" s="17">
        <v>46065</v>
      </c>
      <c r="B68" s="15">
        <v>1.036324</v>
      </c>
      <c r="C68" s="15" t="e">
        <v>#N/A</v>
      </c>
      <c r="D68" s="15">
        <v>1.1628860000000001</v>
      </c>
      <c r="E68" s="15">
        <v>1.6083179999999999</v>
      </c>
    </row>
    <row r="69" spans="1:5">
      <c r="A69" s="18">
        <v>46066</v>
      </c>
      <c r="B69" s="15">
        <v>1.0234000000000001</v>
      </c>
      <c r="C69" s="15" t="e">
        <v>#N/A</v>
      </c>
      <c r="D69" s="15">
        <v>1.0547519999999999</v>
      </c>
      <c r="E69" s="15">
        <v>1.553925</v>
      </c>
    </row>
    <row r="70" spans="1:5">
      <c r="A70" s="17">
        <v>46069</v>
      </c>
      <c r="B70" s="15">
        <v>1.027118</v>
      </c>
      <c r="C70" s="15" t="e">
        <v>#N/A</v>
      </c>
      <c r="D70" s="15">
        <v>1.0912489999999999</v>
      </c>
      <c r="E70" s="15">
        <v>1.520321</v>
      </c>
    </row>
    <row r="71" spans="1:5">
      <c r="A71" s="18">
        <v>46070</v>
      </c>
      <c r="B71" s="15">
        <v>1.0461469999999999</v>
      </c>
      <c r="C71" s="15" t="e">
        <v>#N/A</v>
      </c>
      <c r="D71" s="15">
        <v>1.1480170000000001</v>
      </c>
      <c r="E71" s="15">
        <v>1.545356</v>
      </c>
    </row>
    <row r="72" spans="1:5">
      <c r="A72" s="17">
        <v>46071</v>
      </c>
      <c r="B72" s="15">
        <v>1.0963149999999999</v>
      </c>
      <c r="C72" s="15" t="e">
        <v>#N/A</v>
      </c>
      <c r="D72" s="15">
        <v>1.1549160000000001</v>
      </c>
      <c r="E72" s="15">
        <v>1.598508</v>
      </c>
    </row>
    <row r="73" spans="1:5">
      <c r="A73" s="18">
        <v>46072</v>
      </c>
      <c r="B73" s="15">
        <v>1.0394810000000001</v>
      </c>
      <c r="C73" s="15" t="e">
        <v>#N/A</v>
      </c>
      <c r="D73" s="15">
        <v>1.110849</v>
      </c>
      <c r="E73" s="15">
        <v>1.4850449999999999</v>
      </c>
    </row>
    <row r="74" spans="1:5">
      <c r="A74" s="17">
        <v>46073</v>
      </c>
      <c r="B74" s="15">
        <v>1.112484</v>
      </c>
      <c r="C74" s="15" t="e">
        <v>#N/A</v>
      </c>
      <c r="D74" s="15">
        <v>1.1405339999999999</v>
      </c>
      <c r="E74" s="15">
        <v>1.5862229999999999</v>
      </c>
    </row>
    <row r="75" spans="1:5">
      <c r="A75" s="18">
        <v>46076</v>
      </c>
      <c r="B75" s="15">
        <v>0.97075400000000001</v>
      </c>
      <c r="C75" s="15" t="e">
        <v>#N/A</v>
      </c>
      <c r="D75" s="15">
        <v>1.1349929999999999</v>
      </c>
      <c r="E75" s="15">
        <v>1.4844269999999999</v>
      </c>
    </row>
    <row r="76" spans="1:5">
      <c r="A76" s="17">
        <v>46077</v>
      </c>
      <c r="B76" s="15">
        <v>1.0309379999999999</v>
      </c>
      <c r="C76" s="15" t="e">
        <v>#N/A</v>
      </c>
      <c r="D76" s="15">
        <v>1.1162209999999999</v>
      </c>
      <c r="E76" s="15">
        <v>1.4693259999999999</v>
      </c>
    </row>
    <row r="77" spans="1:5">
      <c r="A77" s="18">
        <v>46078</v>
      </c>
      <c r="B77" s="15">
        <v>1.12442</v>
      </c>
      <c r="C77" s="15" t="e">
        <v>#N/A</v>
      </c>
      <c r="D77" s="15">
        <v>1.1865790000000001</v>
      </c>
      <c r="E77" s="15">
        <v>1.5984670000000001</v>
      </c>
    </row>
    <row r="78" spans="1:5">
      <c r="A78" s="17">
        <v>46079</v>
      </c>
      <c r="B78" s="15">
        <v>1.078255</v>
      </c>
      <c r="C78" s="15" t="e">
        <v>#N/A</v>
      </c>
      <c r="D78" s="15">
        <v>1.181054</v>
      </c>
      <c r="E78" s="15">
        <v>1.5645100000000001</v>
      </c>
    </row>
    <row r="79" spans="1:5">
      <c r="A79" s="18">
        <v>46080</v>
      </c>
      <c r="B79" s="15">
        <v>0.96546699999999996</v>
      </c>
      <c r="C79" s="15" t="e">
        <v>#N/A</v>
      </c>
      <c r="D79" s="15">
        <v>1.1725950000000001</v>
      </c>
      <c r="E79" s="15">
        <v>1.5188919999999999</v>
      </c>
    </row>
    <row r="80" spans="1:5">
      <c r="A80" s="17">
        <v>46081</v>
      </c>
      <c r="B80" s="15" t="e">
        <v>#N/A</v>
      </c>
      <c r="C80" s="15">
        <v>-1.21</v>
      </c>
      <c r="D80" s="15" t="e">
        <v>#N/A</v>
      </c>
      <c r="E80" s="15" t="e">
        <v>#N/A</v>
      </c>
    </row>
    <row r="81" spans="1:5">
      <c r="A81" s="18">
        <v>46083</v>
      </c>
      <c r="B81" s="15">
        <v>0.89214499999999997</v>
      </c>
      <c r="C81" s="15" t="e">
        <v>#N/A</v>
      </c>
      <c r="D81" s="15">
        <v>0.99185199999999996</v>
      </c>
      <c r="E81" s="15">
        <v>1.458906</v>
      </c>
    </row>
    <row r="82" spans="1:5">
      <c r="A82" s="17">
        <v>46084</v>
      </c>
      <c r="B82" s="15">
        <v>0.76727000000000001</v>
      </c>
      <c r="C82" s="15" t="e">
        <v>#N/A</v>
      </c>
      <c r="D82" s="15">
        <v>0.62553499999999995</v>
      </c>
      <c r="E82" s="15">
        <v>1.188723</v>
      </c>
    </row>
    <row r="83" spans="1:5">
      <c r="A83" s="18">
        <v>46085</v>
      </c>
      <c r="B83" s="15">
        <v>0.89808600000000005</v>
      </c>
      <c r="C83" s="15" t="e">
        <v>#N/A</v>
      </c>
      <c r="D83" s="15">
        <v>0.87518399999999996</v>
      </c>
      <c r="E83" s="15">
        <v>1.3226</v>
      </c>
    </row>
    <row r="84" spans="1:5">
      <c r="A84" s="17">
        <v>46086</v>
      </c>
      <c r="B84" s="15">
        <v>0.74902299999999999</v>
      </c>
      <c r="C84" s="15" t="e">
        <v>#N/A</v>
      </c>
      <c r="D84" s="15">
        <v>0.791987</v>
      </c>
      <c r="E84" s="15">
        <v>1.245206</v>
      </c>
    </row>
    <row r="85" spans="1:5">
      <c r="A85" s="18">
        <v>46087</v>
      </c>
      <c r="B85" s="15">
        <v>0.45569799999999999</v>
      </c>
      <c r="C85" s="15" t="e">
        <v>#N/A</v>
      </c>
      <c r="D85" s="15">
        <v>0.55884599999999995</v>
      </c>
      <c r="E85" s="15">
        <v>1.1472709999999999</v>
      </c>
    </row>
    <row r="86" spans="1:5">
      <c r="A86" s="17">
        <v>46090</v>
      </c>
      <c r="B86" s="15">
        <v>0.61037699999999995</v>
      </c>
      <c r="C86" s="15" t="e">
        <v>#N/A</v>
      </c>
      <c r="D86" s="15">
        <v>0.57048100000000002</v>
      </c>
      <c r="E86" s="15">
        <v>0.99966100000000002</v>
      </c>
    </row>
    <row r="87" spans="1:5">
      <c r="A87" s="18">
        <v>46091</v>
      </c>
      <c r="B87" s="15">
        <v>0.62942500000000001</v>
      </c>
      <c r="C87" s="15" t="e">
        <v>#N/A</v>
      </c>
      <c r="D87" s="15">
        <v>0.83413099999999996</v>
      </c>
      <c r="E87" s="15">
        <v>1.017604</v>
      </c>
    </row>
    <row r="88" spans="1:5">
      <c r="A88" s="17">
        <v>46092</v>
      </c>
      <c r="B88" s="15">
        <v>0.67234000000000005</v>
      </c>
      <c r="C88" s="15" t="e">
        <v>#N/A</v>
      </c>
      <c r="D88" s="15">
        <v>0.73813300000000004</v>
      </c>
      <c r="E88" s="15">
        <v>0.98425799999999997</v>
      </c>
    </row>
    <row r="89" spans="1:5">
      <c r="A89" s="18">
        <v>46093</v>
      </c>
      <c r="B89" s="15">
        <v>0.48589900000000003</v>
      </c>
      <c r="C89" s="15" t="e">
        <v>#N/A</v>
      </c>
      <c r="D89" s="15">
        <v>0.66259199999999996</v>
      </c>
      <c r="E89" s="15">
        <v>0.91943399999999997</v>
      </c>
    </row>
    <row r="90" spans="1:5">
      <c r="A90" s="17">
        <v>46094</v>
      </c>
      <c r="B90" s="15">
        <v>0.445351</v>
      </c>
      <c r="C90" s="15" t="e">
        <v>#N/A</v>
      </c>
      <c r="D90" s="15">
        <v>0.61230799999999996</v>
      </c>
      <c r="E90" s="15">
        <v>0.87046999999999997</v>
      </c>
    </row>
    <row r="91" spans="1:5">
      <c r="A91" s="18">
        <v>46097</v>
      </c>
      <c r="B91" s="15">
        <v>0.55971899999999997</v>
      </c>
      <c r="C91" s="15" t="e">
        <v>#N/A</v>
      </c>
      <c r="D91" s="15">
        <v>0.73074600000000001</v>
      </c>
      <c r="E91" s="15">
        <v>0.90017999999999998</v>
      </c>
    </row>
    <row r="92" spans="1:5">
      <c r="A92" s="17">
        <v>46098</v>
      </c>
      <c r="B92" s="15">
        <v>0.59234699999999996</v>
      </c>
      <c r="C92" s="15" t="e">
        <v>#N/A</v>
      </c>
      <c r="D92" s="15">
        <v>0.70983799999999997</v>
      </c>
      <c r="E92" s="15">
        <v>0.97289899999999996</v>
      </c>
    </row>
    <row r="93" spans="1:5">
      <c r="A93" s="19">
        <v>46099</v>
      </c>
      <c r="B93">
        <v>0.49972699999999998</v>
      </c>
      <c r="C93" t="e">
        <v>#N/A</v>
      </c>
      <c r="D93">
        <v>0.65474500000000002</v>
      </c>
      <c r="E93">
        <v>1.0074909999999999</v>
      </c>
    </row>
    <row r="94" spans="1:5">
      <c r="A94" s="19">
        <v>46100</v>
      </c>
      <c r="B94">
        <v>0.47640199999999999</v>
      </c>
      <c r="C94" t="e">
        <v>#N/A</v>
      </c>
      <c r="D94">
        <v>0.56188899999999997</v>
      </c>
      <c r="E94">
        <v>0.95889400000000002</v>
      </c>
    </row>
    <row r="95" spans="1:5">
      <c r="A95" s="19">
        <v>46101</v>
      </c>
      <c r="B95">
        <v>0.321801</v>
      </c>
      <c r="C95" t="e">
        <v>#N/A</v>
      </c>
      <c r="D95">
        <v>0.53130599999999994</v>
      </c>
      <c r="E95">
        <v>0.97535799999999995</v>
      </c>
    </row>
    <row r="96" spans="1:5">
      <c r="A96" s="19">
        <v>46104</v>
      </c>
      <c r="B96">
        <v>0.333424</v>
      </c>
      <c r="C96" t="e">
        <v>#N/A</v>
      </c>
      <c r="D96">
        <v>0.51779299999999995</v>
      </c>
      <c r="E96">
        <v>0.85632600000000003</v>
      </c>
    </row>
    <row r="97" spans="1:5">
      <c r="A97" s="19">
        <v>46105</v>
      </c>
      <c r="B97">
        <v>0.25819300000000001</v>
      </c>
      <c r="C97" t="e">
        <v>#N/A</v>
      </c>
      <c r="D97">
        <v>0.53038300000000005</v>
      </c>
      <c r="E97">
        <v>0.72959799999999997</v>
      </c>
    </row>
    <row r="98" spans="1:5">
      <c r="A98" s="19">
        <v>46106</v>
      </c>
      <c r="B98">
        <v>0.37098199999999998</v>
      </c>
      <c r="C98" t="e">
        <v>#N/A</v>
      </c>
      <c r="D98">
        <v>0.650146</v>
      </c>
      <c r="E98">
        <v>0.83053600000000005</v>
      </c>
    </row>
    <row r="99" spans="1:5">
      <c r="A99" s="19">
        <v>46107</v>
      </c>
      <c r="B99">
        <v>0.26706000000000002</v>
      </c>
      <c r="C99" t="e">
        <v>#N/A</v>
      </c>
      <c r="D99">
        <v>0.49747000000000002</v>
      </c>
      <c r="E99">
        <v>0.84862499999999996</v>
      </c>
    </row>
    <row r="100" spans="1:5">
      <c r="A100" s="19">
        <v>46108</v>
      </c>
      <c r="B100">
        <v>1.8731000000000001E-2</v>
      </c>
      <c r="C100" t="e">
        <v>#N/A</v>
      </c>
      <c r="D100">
        <v>0.52051599999999998</v>
      </c>
      <c r="E100">
        <v>0.69720199999999999</v>
      </c>
    </row>
    <row r="101" spans="1:5">
      <c r="A101" s="19">
        <v>46111</v>
      </c>
      <c r="B101">
        <v>9.6790000000000001E-3</v>
      </c>
      <c r="C101" t="e">
        <v>#N/A</v>
      </c>
      <c r="D101">
        <v>0.58949099999999999</v>
      </c>
      <c r="E101">
        <v>0.90352500000000002</v>
      </c>
    </row>
    <row r="102" spans="1:5">
      <c r="A102" s="19">
        <v>46112</v>
      </c>
      <c r="B102">
        <v>0.26403799999999999</v>
      </c>
      <c r="C102">
        <v>-0.34</v>
      </c>
      <c r="D102">
        <v>0.68811</v>
      </c>
      <c r="E102">
        <v>1.140244</v>
      </c>
    </row>
    <row r="103" spans="1:5">
      <c r="A103" s="19">
        <v>46113</v>
      </c>
      <c r="B103">
        <v>0.40165699999999999</v>
      </c>
      <c r="C103" t="e">
        <v>#N/A</v>
      </c>
      <c r="D103">
        <v>0.80288899999999996</v>
      </c>
      <c r="E103">
        <v>1.301291</v>
      </c>
    </row>
    <row r="104" spans="1:5">
      <c r="A104" s="19">
        <v>46114</v>
      </c>
      <c r="B104">
        <v>0.43429800000000002</v>
      </c>
      <c r="C104" t="e">
        <v>#N/A</v>
      </c>
      <c r="D104">
        <v>0.69767900000000005</v>
      </c>
      <c r="E104">
        <v>1.203063</v>
      </c>
    </row>
    <row r="105" spans="1:5">
      <c r="A105" s="19">
        <v>46115</v>
      </c>
      <c r="B105">
        <v>0.46169399999999999</v>
      </c>
      <c r="C105" t="e">
        <v>#N/A</v>
      </c>
      <c r="D105">
        <v>0.69874099999999995</v>
      </c>
      <c r="E105">
        <v>1.2047159999999999</v>
      </c>
    </row>
    <row r="106" spans="1:5">
      <c r="A106" s="19">
        <v>46118</v>
      </c>
      <c r="B106">
        <v>0.50202999999999998</v>
      </c>
      <c r="C106" t="e">
        <v>#N/A</v>
      </c>
      <c r="D106">
        <v>0.83686899999999997</v>
      </c>
      <c r="E106">
        <v>1.21133</v>
      </c>
    </row>
    <row r="107" spans="1:5">
      <c r="A107" s="19">
        <v>46119</v>
      </c>
      <c r="B107">
        <v>0.354379</v>
      </c>
      <c r="C107" t="e">
        <v>#N/A</v>
      </c>
      <c r="D107">
        <v>0.72562300000000002</v>
      </c>
      <c r="E107">
        <v>0.99252200000000002</v>
      </c>
    </row>
    <row r="108" spans="1:5">
      <c r="A108" s="19">
        <v>46120</v>
      </c>
      <c r="B108">
        <v>0.68976400000000004</v>
      </c>
      <c r="C108" t="e">
        <v>#N/A</v>
      </c>
      <c r="D108">
        <v>1.012821</v>
      </c>
      <c r="E108">
        <v>1.14157</v>
      </c>
    </row>
    <row r="109" spans="1:5">
      <c r="A109" s="19">
        <v>46121</v>
      </c>
      <c r="B109">
        <v>0.75596200000000002</v>
      </c>
      <c r="C109" t="e">
        <v>#N/A</v>
      </c>
      <c r="D109">
        <v>1.009868</v>
      </c>
      <c r="E109">
        <v>1.237975</v>
      </c>
    </row>
    <row r="110" spans="1:5">
      <c r="A110" s="19">
        <v>46122</v>
      </c>
      <c r="B110">
        <v>0.75772300000000004</v>
      </c>
      <c r="C110" t="e">
        <v>#N/A</v>
      </c>
      <c r="D110">
        <v>1.033982</v>
      </c>
      <c r="E110">
        <v>1.197319</v>
      </c>
    </row>
    <row r="111" spans="1:5">
      <c r="A111" s="19">
        <v>46125</v>
      </c>
      <c r="B111">
        <v>0.80200199999999999</v>
      </c>
      <c r="C111" t="e">
        <v>#N/A</v>
      </c>
      <c r="D111">
        <v>1.0462180000000001</v>
      </c>
      <c r="E111">
        <v>1.183549</v>
      </c>
    </row>
    <row r="112" spans="1:5">
      <c r="A112" s="19">
        <v>46126</v>
      </c>
      <c r="B112">
        <v>0.81606999999999996</v>
      </c>
      <c r="C112" t="e">
        <v>#N/A</v>
      </c>
      <c r="D112">
        <v>1.0965149999999999</v>
      </c>
      <c r="E112">
        <v>1.081952</v>
      </c>
    </row>
    <row r="113" spans="1:5">
      <c r="A113" s="19">
        <v>46127</v>
      </c>
      <c r="B113">
        <v>0.90564900000000004</v>
      </c>
      <c r="C113" t="e">
        <v>#N/A</v>
      </c>
      <c r="D113">
        <v>1.089418</v>
      </c>
      <c r="E113">
        <v>1.051336</v>
      </c>
    </row>
    <row r="114" spans="1:5">
      <c r="A114" s="19">
        <v>46128</v>
      </c>
      <c r="B114">
        <v>0.92005000000000003</v>
      </c>
      <c r="C114" t="e">
        <v>#N/A</v>
      </c>
      <c r="D114">
        <v>1.0600540000000001</v>
      </c>
      <c r="E114">
        <v>0.96512299999999995</v>
      </c>
    </row>
    <row r="115" spans="1:5">
      <c r="A115" s="19">
        <v>46129</v>
      </c>
      <c r="B115">
        <v>0.92066099999999995</v>
      </c>
      <c r="C115" t="e">
        <v>#N/A</v>
      </c>
      <c r="D115">
        <v>1.1144639999999999</v>
      </c>
      <c r="E115">
        <v>1.0814779999999999</v>
      </c>
    </row>
    <row r="116" spans="1:5">
      <c r="A116" s="19">
        <v>46132</v>
      </c>
      <c r="B116">
        <v>0.87466100000000002</v>
      </c>
      <c r="C116" t="e">
        <v>#N/A</v>
      </c>
      <c r="D116">
        <v>1.0282849999999999</v>
      </c>
      <c r="E116">
        <v>1.0381640000000001</v>
      </c>
    </row>
    <row r="117" spans="1:5">
      <c r="A117" s="19">
        <v>46133</v>
      </c>
      <c r="B117">
        <v>0.83083399999999996</v>
      </c>
      <c r="C117" t="e">
        <v>#N/A</v>
      </c>
      <c r="D117">
        <v>0.95307799999999998</v>
      </c>
      <c r="E117">
        <v>1.050135</v>
      </c>
    </row>
    <row r="118" spans="1:5">
      <c r="A118" s="19">
        <v>46134</v>
      </c>
      <c r="B118">
        <v>0.87238700000000002</v>
      </c>
      <c r="C118" t="e">
        <v>#N/A</v>
      </c>
      <c r="D118">
        <v>1.0226759999999999</v>
      </c>
      <c r="E118">
        <v>1.097432</v>
      </c>
    </row>
    <row r="119" spans="1:5">
      <c r="A119" s="19">
        <v>46135</v>
      </c>
      <c r="B119">
        <v>0.85313000000000005</v>
      </c>
      <c r="C119" t="e">
        <v>#N/A</v>
      </c>
      <c r="D119">
        <v>1.0144470000000001</v>
      </c>
      <c r="E119">
        <v>1.0979099999999999</v>
      </c>
    </row>
    <row r="120" spans="1:5">
      <c r="A120" s="19">
        <v>46136</v>
      </c>
      <c r="B120">
        <v>0.87418300000000004</v>
      </c>
      <c r="C120" t="e">
        <v>#N/A</v>
      </c>
      <c r="D120">
        <v>0.92701599999999995</v>
      </c>
      <c r="E120">
        <v>1.060934</v>
      </c>
    </row>
    <row r="121" spans="1:5">
      <c r="A121" s="19">
        <v>46139</v>
      </c>
      <c r="B121">
        <v>0.93505499999999997</v>
      </c>
      <c r="C121" t="e">
        <v>#N/A</v>
      </c>
      <c r="D121">
        <v>0.95239600000000002</v>
      </c>
      <c r="E121">
        <v>1.0205150000000001</v>
      </c>
    </row>
    <row r="122" spans="1:5">
      <c r="A122" s="19">
        <v>46140</v>
      </c>
      <c r="B122">
        <v>0.90446499999999996</v>
      </c>
      <c r="C122" t="e">
        <v>#N/A</v>
      </c>
      <c r="D122">
        <v>0.943052</v>
      </c>
      <c r="E122">
        <v>1.1481250000000001</v>
      </c>
    </row>
    <row r="123" spans="1:5">
      <c r="A123" s="19">
        <v>46141</v>
      </c>
      <c r="B123">
        <v>0.90179900000000002</v>
      </c>
      <c r="C123" t="e">
        <v>#N/A</v>
      </c>
      <c r="D123">
        <v>0.923732</v>
      </c>
      <c r="E123">
        <v>1.262975</v>
      </c>
    </row>
    <row r="124" spans="1:5">
      <c r="A124" s="19">
        <v>46142</v>
      </c>
      <c r="B124">
        <v>0.90316099999999999</v>
      </c>
      <c r="C124">
        <v>-1.55</v>
      </c>
      <c r="D124">
        <v>0.96415799999999996</v>
      </c>
      <c r="E124">
        <v>1.0481100000000001</v>
      </c>
    </row>
    <row r="125" spans="1:5">
      <c r="A125" s="19">
        <v>46143</v>
      </c>
      <c r="B125">
        <v>0.955565</v>
      </c>
      <c r="C125" t="e">
        <v>#N/A</v>
      </c>
      <c r="D125">
        <v>0.97038999999999997</v>
      </c>
      <c r="E125">
        <v>1.0487200000000001</v>
      </c>
    </row>
    <row r="126" spans="1:5">
      <c r="A126" s="19">
        <v>46146</v>
      </c>
      <c r="B126">
        <v>0.92486299999999999</v>
      </c>
      <c r="C126" t="e">
        <v>#N/A</v>
      </c>
      <c r="D126">
        <v>0.99016499999999996</v>
      </c>
      <c r="E126">
        <v>1.2449479999999999</v>
      </c>
    </row>
    <row r="127" spans="1:5">
      <c r="A127" s="19">
        <v>46147</v>
      </c>
      <c r="B127">
        <v>1.0002420000000001</v>
      </c>
      <c r="C127" t="e">
        <v>#N/A</v>
      </c>
      <c r="D127">
        <v>0.90898599999999996</v>
      </c>
      <c r="E127">
        <v>1.2426200000000001</v>
      </c>
    </row>
    <row r="128" spans="1:5">
      <c r="A128" s="19">
        <v>46148</v>
      </c>
      <c r="B128">
        <v>1.028286</v>
      </c>
      <c r="C128" t="e">
        <v>#N/A</v>
      </c>
      <c r="D128">
        <v>0.98878999999999995</v>
      </c>
      <c r="E128">
        <v>1.222275</v>
      </c>
    </row>
    <row r="129" spans="1:5">
      <c r="A129" s="19">
        <v>46149</v>
      </c>
      <c r="B129">
        <v>1.0643590000000001</v>
      </c>
      <c r="C129" t="e">
        <v>#N/A</v>
      </c>
      <c r="D129">
        <v>0.96892100000000003</v>
      </c>
      <c r="E129">
        <v>1.1620410000000001</v>
      </c>
    </row>
    <row r="130" spans="1:5">
      <c r="A130" s="19">
        <v>46150</v>
      </c>
      <c r="B130">
        <v>1.029169</v>
      </c>
      <c r="C130" t="e">
        <v>#N/A</v>
      </c>
      <c r="D130">
        <v>0.97037799999999996</v>
      </c>
      <c r="E130">
        <v>1.1728590000000001</v>
      </c>
    </row>
    <row r="131" spans="1:5">
      <c r="A131" s="19">
        <v>46153</v>
      </c>
      <c r="B131">
        <v>0.99785100000000004</v>
      </c>
      <c r="C131" t="e">
        <v>#N/A</v>
      </c>
      <c r="D131">
        <v>0.99674300000000005</v>
      </c>
      <c r="E131">
        <v>1.123227</v>
      </c>
    </row>
    <row r="132" spans="1:5">
      <c r="A132" s="19">
        <v>46154</v>
      </c>
      <c r="B132">
        <v>1.0141340000000001</v>
      </c>
      <c r="C132" t="e">
        <v>#N/A</v>
      </c>
      <c r="D132">
        <v>0.96947399999999995</v>
      </c>
      <c r="E132">
        <v>1.0875760000000001</v>
      </c>
    </row>
    <row r="133" spans="1:5">
      <c r="A133" s="19">
        <v>46155</v>
      </c>
      <c r="B133">
        <v>1.01898</v>
      </c>
      <c r="C133" t="e">
        <v>#N/A</v>
      </c>
      <c r="D133">
        <v>0.95693499999999998</v>
      </c>
      <c r="E133">
        <v>1.124606</v>
      </c>
    </row>
    <row r="134" spans="1:5">
      <c r="A134" s="19">
        <v>46156</v>
      </c>
      <c r="B134">
        <v>1.05724</v>
      </c>
      <c r="C134" t="e">
        <v>#N/A</v>
      </c>
      <c r="D134">
        <v>1.0149349999999999</v>
      </c>
      <c r="E134">
        <v>1.229676</v>
      </c>
    </row>
    <row r="135" spans="1:5">
      <c r="A135" s="19">
        <v>46157</v>
      </c>
      <c r="B135">
        <v>0.98092800000000002</v>
      </c>
      <c r="C135" t="e">
        <v>#N/A</v>
      </c>
      <c r="D135">
        <v>0.89776100000000003</v>
      </c>
      <c r="E135">
        <v>1.2007330000000001</v>
      </c>
    </row>
    <row r="136" spans="1:5">
      <c r="A136" s="19">
        <v>46160</v>
      </c>
      <c r="B136">
        <v>0.98416099999999995</v>
      </c>
      <c r="C136" t="e">
        <v>#N/A</v>
      </c>
      <c r="D136">
        <v>0.93065399999999998</v>
      </c>
      <c r="E136">
        <v>1.206067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20"/>
  <sheetViews>
    <sheetView workbookViewId="0">
      <pane xSplit="1" ySplit="5" topLeftCell="X90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21.7109375" customWidth="1"/>
    <col min="2" max="2" width="14.140625" bestFit="1" customWidth="1"/>
    <col min="3" max="3" width="14.140625" customWidth="1"/>
    <col min="4" max="7" width="13" customWidth="1"/>
    <col min="8" max="8" width="18.42578125" bestFit="1" customWidth="1"/>
    <col min="9" max="34" width="13" customWidth="1"/>
  </cols>
  <sheetData>
    <row r="1" spans="1:34" ht="18">
      <c r="A1" s="1" t="s">
        <v>166</v>
      </c>
      <c r="J1" s="16" t="s">
        <v>182</v>
      </c>
    </row>
    <row r="2" spans="1:34">
      <c r="A2" s="2" t="s">
        <v>167</v>
      </c>
    </row>
    <row r="3" spans="1:34">
      <c r="B3" s="6" t="s">
        <v>52</v>
      </c>
      <c r="C3" s="6"/>
      <c r="D3" s="6" t="s">
        <v>162</v>
      </c>
      <c r="E3" s="6"/>
      <c r="F3" s="6" t="s">
        <v>163</v>
      </c>
      <c r="G3" s="6"/>
      <c r="H3" s="6" t="s">
        <v>56</v>
      </c>
      <c r="I3" s="6"/>
      <c r="J3" s="6" t="s">
        <v>60</v>
      </c>
      <c r="K3" s="6"/>
      <c r="L3" s="6" t="s">
        <v>63</v>
      </c>
      <c r="M3" s="6"/>
      <c r="N3" s="6" t="s">
        <v>162</v>
      </c>
      <c r="O3" s="6"/>
      <c r="P3" s="6" t="s">
        <v>162</v>
      </c>
      <c r="Q3" s="6"/>
      <c r="R3" s="6" t="s">
        <v>65</v>
      </c>
      <c r="S3" s="6"/>
      <c r="T3" s="6" t="s">
        <v>164</v>
      </c>
      <c r="U3" s="6"/>
      <c r="V3" s="6" t="s">
        <v>67</v>
      </c>
      <c r="W3" s="6"/>
      <c r="X3" s="6" t="s">
        <v>39</v>
      </c>
      <c r="Y3" s="6"/>
      <c r="Z3" s="6" t="s">
        <v>48</v>
      </c>
      <c r="AA3" s="6"/>
      <c r="AB3" s="6" t="s">
        <v>42</v>
      </c>
      <c r="AC3" s="6"/>
      <c r="AD3" s="6" t="s">
        <v>69</v>
      </c>
      <c r="AE3" s="6"/>
      <c r="AF3" s="6" t="s">
        <v>46</v>
      </c>
      <c r="AG3" s="6"/>
      <c r="AH3" s="6" t="s">
        <v>58</v>
      </c>
    </row>
    <row r="4" spans="1:34">
      <c r="A4" s="7" t="s">
        <v>110</v>
      </c>
      <c r="B4" s="8" t="s">
        <v>74</v>
      </c>
      <c r="C4" s="7" t="s">
        <v>110</v>
      </c>
      <c r="D4" s="8" t="s">
        <v>76</v>
      </c>
      <c r="E4" s="7" t="s">
        <v>110</v>
      </c>
      <c r="F4" s="8" t="s">
        <v>78</v>
      </c>
      <c r="G4" s="7" t="s">
        <v>110</v>
      </c>
      <c r="H4" s="8" t="s">
        <v>80</v>
      </c>
      <c r="I4" s="7" t="s">
        <v>110</v>
      </c>
      <c r="J4" s="8" t="s">
        <v>82</v>
      </c>
      <c r="K4" s="7" t="s">
        <v>110</v>
      </c>
      <c r="L4" s="8" t="s">
        <v>84</v>
      </c>
      <c r="M4" s="7" t="s">
        <v>110</v>
      </c>
      <c r="N4" s="8" t="s">
        <v>86</v>
      </c>
      <c r="O4" s="7" t="s">
        <v>110</v>
      </c>
      <c r="P4" s="8" t="s">
        <v>88</v>
      </c>
      <c r="Q4" s="7" t="s">
        <v>110</v>
      </c>
      <c r="R4" s="8" t="s">
        <v>90</v>
      </c>
      <c r="S4" s="7" t="s">
        <v>110</v>
      </c>
      <c r="T4" s="8" t="s">
        <v>92</v>
      </c>
      <c r="U4" s="7" t="s">
        <v>110</v>
      </c>
      <c r="V4" s="8" t="s">
        <v>94</v>
      </c>
      <c r="W4" s="7" t="s">
        <v>110</v>
      </c>
      <c r="X4" s="8" t="s">
        <v>96</v>
      </c>
      <c r="Y4" s="7" t="s">
        <v>110</v>
      </c>
      <c r="Z4" s="8" t="s">
        <v>98</v>
      </c>
      <c r="AA4" s="7" t="s">
        <v>110</v>
      </c>
      <c r="AB4" s="8" t="s">
        <v>100</v>
      </c>
      <c r="AC4" s="7" t="s">
        <v>110</v>
      </c>
      <c r="AD4" s="8" t="s">
        <v>102</v>
      </c>
      <c r="AE4" s="7" t="s">
        <v>110</v>
      </c>
      <c r="AF4" s="8" t="s">
        <v>104</v>
      </c>
      <c r="AG4" s="7" t="s">
        <v>110</v>
      </c>
      <c r="AH4" s="8" t="s">
        <v>106</v>
      </c>
    </row>
    <row r="5" spans="1:34">
      <c r="A5" s="9" t="s">
        <v>111</v>
      </c>
      <c r="B5" s="10" t="s">
        <v>271</v>
      </c>
      <c r="C5" s="9"/>
      <c r="D5" s="10" t="s">
        <v>259</v>
      </c>
      <c r="E5" s="23"/>
      <c r="F5" s="10" t="s">
        <v>256</v>
      </c>
      <c r="G5" s="23"/>
      <c r="H5" s="10" t="s">
        <v>272</v>
      </c>
      <c r="I5" s="23"/>
      <c r="J5" s="10" t="s">
        <v>257</v>
      </c>
      <c r="K5" s="23"/>
      <c r="L5" s="10" t="s">
        <v>258</v>
      </c>
      <c r="M5" s="23"/>
      <c r="N5" s="10" t="s">
        <v>260</v>
      </c>
      <c r="O5" s="23"/>
      <c r="P5" s="10" t="s">
        <v>261</v>
      </c>
      <c r="Q5" s="23"/>
      <c r="R5" s="10" t="s">
        <v>262</v>
      </c>
      <c r="S5" s="23"/>
      <c r="T5" s="10" t="s">
        <v>263</v>
      </c>
      <c r="U5" s="23"/>
      <c r="V5" s="10" t="s">
        <v>264</v>
      </c>
      <c r="W5" s="23"/>
      <c r="X5" s="10" t="s">
        <v>265</v>
      </c>
      <c r="Y5" s="23"/>
      <c r="Z5" s="10" t="s">
        <v>266</v>
      </c>
      <c r="AA5" s="23"/>
      <c r="AB5" s="10" t="s">
        <v>267</v>
      </c>
      <c r="AC5" s="23"/>
      <c r="AD5" s="10" t="s">
        <v>268</v>
      </c>
      <c r="AE5" s="23"/>
      <c r="AF5" s="10" t="s">
        <v>269</v>
      </c>
      <c r="AG5" s="23"/>
      <c r="AH5" s="10" t="s">
        <v>270</v>
      </c>
    </row>
    <row r="6" spans="1:34">
      <c r="A6" s="22">
        <f ca="1">_xll.BDH(B$5,"BEST_EPS",TODAY()-730,TODAY(),"BEST_FPERIOD_OVERRIDE=1FY","Per=W","Dir=V","Dt","cols=2;rows=104")</f>
        <v>45436</v>
      </c>
      <c r="B6" s="15">
        <v>86.661900000000003</v>
      </c>
      <c r="C6" s="23">
        <f ca="1">_xll.BDH(D$5,"BEST_EPS",TODAY()-730,TODAY(),"BEST_FPERIOD_OVERRIDE=1FY","Per=W","Dir=V","Dt","cols=2;rows=104")</f>
        <v>45436</v>
      </c>
      <c r="D6" s="15">
        <v>680.64700000000005</v>
      </c>
      <c r="E6" s="23">
        <f ca="1">_xll.BDH(F$5,"BEST_EPS",TODAY()-730,TODAY(),"BEST_FPERIOD_OVERRIDE=1FY","Per=W","Dir=V","Dt","cols=2;rows=105")</f>
        <v>45431</v>
      </c>
      <c r="F6" s="15">
        <v>254.20330000000001</v>
      </c>
      <c r="G6" s="23">
        <f ca="1">_xll.BDH(H$5,"BEST_EPS",TODAY()-730,TODAY(),"BEST_FPERIOD_OVERRIDE=1FY","Per=W","Dir=V","Dt","cols=2;rows=104")</f>
        <v>45436</v>
      </c>
      <c r="H6" s="15">
        <v>449.38830000000002</v>
      </c>
      <c r="I6" s="23">
        <f ca="1">_xll.BDH(J$5,"BEST_EPS",TODAY()-730,TODAY(),"BEST_FPERIOD_OVERRIDE=1FY","Per=W","Dir=V","Dt","cols=2;rows=104")</f>
        <v>45436</v>
      </c>
      <c r="J6" s="15">
        <v>2011.7858000000001</v>
      </c>
      <c r="K6" s="23">
        <f ca="1">_xll.BDH(L$5,"BEST_EPS",TODAY()-730,TODAY(),"BEST_FPERIOD_OVERRIDE=1FY","Per=W","Dir=V","Dt","cols=2;rows=104")</f>
        <v>45436</v>
      </c>
      <c r="L6" s="15">
        <v>1141.0915</v>
      </c>
      <c r="M6" s="23">
        <f ca="1">_xll.BDH(N$5,"BEST_EPS",TODAY()-730,TODAY(),"BEST_FPERIOD_OVERRIDE=1FY","Per=W","Dir=V","Dt","cols=2;rows=104")</f>
        <v>45436</v>
      </c>
      <c r="N6" s="15">
        <v>241.87299999999999</v>
      </c>
      <c r="O6" s="23">
        <f ca="1">_xll.BDH(P$5,"BEST_EPS",TODAY()-730,TODAY(),"BEST_FPERIOD_OVERRIDE=1FY","Per=W","Dir=V","Dt","cols=2;rows=104")</f>
        <v>45436</v>
      </c>
      <c r="P6" s="15">
        <v>75.121200000000002</v>
      </c>
      <c r="Q6" s="23">
        <f ca="1">_xll.BDH(R$5,"BEST_EPS",TODAY()-730,TODAY(),"BEST_FPERIOD_OVERRIDE=1FY","Per=W","Dir=V","Dt","cols=2;rows=104")</f>
        <v>45436</v>
      </c>
      <c r="R6" s="15">
        <v>649.25480000000005</v>
      </c>
      <c r="S6" s="23">
        <f ca="1">_xll.BDH(T$5,"BEST_EPS",TODAY()-730,TODAY(),"BEST_FPERIOD_OVERRIDE=1FY","Per=W","Dir=V","Dt","cols=2;rows=104")</f>
        <v>45436</v>
      </c>
      <c r="T6" s="15">
        <v>680.80650000000003</v>
      </c>
      <c r="U6" s="23">
        <f ca="1">_xll.BDH(V$5,"BEST_EPS",TODAY()-730,TODAY(),"BEST_FPERIOD_OVERRIDE=1FY","Per=W","Dir=V","Dt","cols=2;rows=104")</f>
        <v>45436</v>
      </c>
      <c r="V6" s="15">
        <v>56.655900000000003</v>
      </c>
      <c r="W6" s="23">
        <f ca="1">_xll.BDH(X$5,"BEST_EPS",TODAY()-730,TODAY(),"BEST_FPERIOD_OVERRIDE=1FY","Per=W","Dir=V","Dt","cols=2;rows=104")</f>
        <v>45436</v>
      </c>
      <c r="X6" s="15">
        <v>567.99869999999999</v>
      </c>
      <c r="Y6" s="23">
        <f ca="1">_xll.BDH(Z$5,"BEST_EPS",TODAY()-730,TODAY(),"BEST_FPERIOD_OVERRIDE=1FY","Per=W","Dir=V","Dt","cols=2;rows=104")</f>
        <v>45436</v>
      </c>
      <c r="Z6" s="15">
        <v>3708.8159000000001</v>
      </c>
      <c r="AA6" s="23">
        <f ca="1">_xll.BDH(AB$5,"BEST_EPS",TODAY()-730,TODAY(),"BEST_FPERIOD_OVERRIDE=1FY","Per=W","Dir=V","Dt","cols=2;rows=104")</f>
        <v>45436</v>
      </c>
      <c r="AB6" s="15">
        <v>1757.9411</v>
      </c>
      <c r="AC6" s="23">
        <f ca="1">_xll.BDH(AD$5,"BEST_EPS",TODAY()-730,TODAY(),"BEST_FPERIOD_OVERRIDE=1FY","Per=W","Dir=V","Dt","cols=2;rows=104")</f>
        <v>45436</v>
      </c>
      <c r="AD6" s="15">
        <v>357.9255</v>
      </c>
      <c r="AE6" s="23">
        <f ca="1">_xll.BDH(AF$5,"BEST_EPS",TODAY()-730,TODAY(),"BEST_FPERIOD_OVERRIDE=1FY","Per=W","Dir=V","Dt","cols=2;rows=104")</f>
        <v>45436</v>
      </c>
      <c r="AF6" s="15">
        <v>1015.241</v>
      </c>
      <c r="AG6" s="23">
        <f ca="1">_xll.BDH(AH$5,"BEST_EPS",TODAY()-730,TODAY(),"BEST_FPERIOD_OVERRIDE=1FY","Per=W","Dir=V","Dt","cols=2;rows=104")</f>
        <v>45436</v>
      </c>
      <c r="AH6" s="15">
        <v>1389.6234999999999</v>
      </c>
    </row>
    <row r="7" spans="1:34">
      <c r="A7" s="23">
        <v>45443</v>
      </c>
      <c r="B7" s="15">
        <v>86.979900000000001</v>
      </c>
      <c r="C7" s="23">
        <v>45443</v>
      </c>
      <c r="D7" s="15">
        <v>680.5299</v>
      </c>
      <c r="E7" s="23">
        <v>45438</v>
      </c>
      <c r="F7" s="15">
        <v>253.13040000000001</v>
      </c>
      <c r="G7" s="23">
        <v>45443</v>
      </c>
      <c r="H7" s="15">
        <v>448.86419999999998</v>
      </c>
      <c r="I7" s="23">
        <v>45443</v>
      </c>
      <c r="J7" s="15">
        <v>2011.1885</v>
      </c>
      <c r="K7" s="23">
        <v>45443</v>
      </c>
      <c r="L7" s="15">
        <v>1138.7016000000001</v>
      </c>
      <c r="M7" s="23">
        <v>45443</v>
      </c>
      <c r="N7" s="15">
        <v>241.71299999999999</v>
      </c>
      <c r="O7" s="23">
        <v>45443</v>
      </c>
      <c r="P7" s="15">
        <v>74.810599999999994</v>
      </c>
      <c r="Q7" s="23">
        <v>45443</v>
      </c>
      <c r="R7" s="15">
        <v>647.19119999999998</v>
      </c>
      <c r="S7" s="23">
        <v>45443</v>
      </c>
      <c r="T7" s="15">
        <v>685.13139999999999</v>
      </c>
      <c r="U7" s="23">
        <v>45443</v>
      </c>
      <c r="V7" s="15">
        <v>56.625999999999998</v>
      </c>
      <c r="W7" s="23">
        <v>45443</v>
      </c>
      <c r="X7" s="15">
        <v>567.34259999999995</v>
      </c>
      <c r="Y7" s="23">
        <v>45443</v>
      </c>
      <c r="Z7" s="15">
        <v>3700.0915</v>
      </c>
      <c r="AA7" s="23">
        <v>45443</v>
      </c>
      <c r="AB7" s="15">
        <v>1757.7140999999999</v>
      </c>
      <c r="AC7" s="23">
        <v>45443</v>
      </c>
      <c r="AD7" s="15">
        <v>357.88499999999999</v>
      </c>
      <c r="AE7" s="23">
        <v>45443</v>
      </c>
      <c r="AF7" s="15">
        <v>1018.6070999999999</v>
      </c>
      <c r="AG7" s="23">
        <v>45443</v>
      </c>
      <c r="AH7" s="15">
        <v>1392.3197</v>
      </c>
    </row>
    <row r="8" spans="1:34">
      <c r="A8" s="24">
        <v>45450</v>
      </c>
      <c r="B8" s="15">
        <v>87.155699999999996</v>
      </c>
      <c r="C8" s="23">
        <v>45450</v>
      </c>
      <c r="D8" s="15">
        <v>680.26750000000004</v>
      </c>
      <c r="E8" s="23">
        <v>45445</v>
      </c>
      <c r="F8" s="15">
        <v>253.01519999999999</v>
      </c>
      <c r="G8" s="23">
        <v>45450</v>
      </c>
      <c r="H8" s="15">
        <v>450.49310000000003</v>
      </c>
      <c r="I8" s="23">
        <v>45450</v>
      </c>
      <c r="J8" s="15">
        <v>2018.2251000000001</v>
      </c>
      <c r="K8" s="23">
        <v>45450</v>
      </c>
      <c r="L8" s="15">
        <v>1140.6018999999999</v>
      </c>
      <c r="M8" s="23">
        <v>45450</v>
      </c>
      <c r="N8" s="15">
        <v>241.66730000000001</v>
      </c>
      <c r="O8" s="23">
        <v>45450</v>
      </c>
      <c r="P8" s="15">
        <v>74.549099999999996</v>
      </c>
      <c r="Q8" s="23">
        <v>45450</v>
      </c>
      <c r="R8" s="15">
        <v>644.51850000000002</v>
      </c>
      <c r="S8" s="23">
        <v>45450</v>
      </c>
      <c r="T8" s="15">
        <v>687.10090000000002</v>
      </c>
      <c r="U8" s="23">
        <v>45450</v>
      </c>
      <c r="V8" s="15">
        <v>56.7119</v>
      </c>
      <c r="W8" s="23">
        <v>45450</v>
      </c>
      <c r="X8" s="15">
        <v>567.16390000000001</v>
      </c>
      <c r="Y8" s="23">
        <v>45450</v>
      </c>
      <c r="Z8" s="15">
        <v>3709.3487</v>
      </c>
      <c r="AA8" s="23">
        <v>45450</v>
      </c>
      <c r="AB8" s="15">
        <v>1763.461</v>
      </c>
      <c r="AC8" s="23">
        <v>45450</v>
      </c>
      <c r="AD8" s="15">
        <v>358.04840000000002</v>
      </c>
      <c r="AE8" s="23">
        <v>45450</v>
      </c>
      <c r="AF8" s="15">
        <v>1024.2148999999999</v>
      </c>
      <c r="AG8" s="23">
        <v>45450</v>
      </c>
      <c r="AH8" s="15">
        <v>1389.3916999999999</v>
      </c>
    </row>
    <row r="9" spans="1:34">
      <c r="A9" s="23">
        <v>45457</v>
      </c>
      <c r="B9" s="15">
        <v>87.258899999999997</v>
      </c>
      <c r="C9" s="23">
        <v>45457</v>
      </c>
      <c r="D9" s="15">
        <v>677.3546</v>
      </c>
      <c r="E9" s="23">
        <v>45452</v>
      </c>
      <c r="F9" s="15">
        <v>252.15690000000001</v>
      </c>
      <c r="G9" s="23">
        <v>45457</v>
      </c>
      <c r="H9" s="15">
        <v>449.07799999999997</v>
      </c>
      <c r="I9" s="23">
        <v>45457</v>
      </c>
      <c r="J9" s="15">
        <v>2043.9963</v>
      </c>
      <c r="K9" s="23">
        <v>45457</v>
      </c>
      <c r="L9" s="15">
        <v>1141.4628</v>
      </c>
      <c r="M9" s="23">
        <v>45457</v>
      </c>
      <c r="N9" s="15">
        <v>241.29150000000001</v>
      </c>
      <c r="O9" s="23">
        <v>45457</v>
      </c>
      <c r="P9" s="15">
        <v>74.610799999999998</v>
      </c>
      <c r="Q9" s="23">
        <v>45457</v>
      </c>
      <c r="R9" s="15">
        <v>642.96249999999998</v>
      </c>
      <c r="S9" s="23">
        <v>45457</v>
      </c>
      <c r="T9" s="15">
        <v>688.15290000000005</v>
      </c>
      <c r="U9" s="23">
        <v>45457</v>
      </c>
      <c r="V9" s="15">
        <v>57.136299999999999</v>
      </c>
      <c r="W9" s="23">
        <v>45457</v>
      </c>
      <c r="X9" s="15">
        <v>569.86199999999997</v>
      </c>
      <c r="Y9" s="23">
        <v>45457</v>
      </c>
      <c r="Z9" s="15">
        <v>3709.2350000000001</v>
      </c>
      <c r="AA9" s="23">
        <v>45457</v>
      </c>
      <c r="AB9" s="15">
        <v>1765.8685</v>
      </c>
      <c r="AC9" s="23">
        <v>45457</v>
      </c>
      <c r="AD9" s="15">
        <v>358.26589999999999</v>
      </c>
      <c r="AE9" s="23">
        <v>45457</v>
      </c>
      <c r="AF9" s="15">
        <v>1025.556</v>
      </c>
      <c r="AG9" s="23">
        <v>45457</v>
      </c>
      <c r="AH9" s="15">
        <v>1388.3585</v>
      </c>
    </row>
    <row r="10" spans="1:34">
      <c r="A10" s="24">
        <v>45464</v>
      </c>
      <c r="B10" s="15">
        <v>87.350999999999999</v>
      </c>
      <c r="C10" s="23">
        <v>45464</v>
      </c>
      <c r="D10" s="15">
        <v>678.18219999999997</v>
      </c>
      <c r="E10" s="23">
        <v>45459</v>
      </c>
      <c r="F10" s="15">
        <v>250.8845</v>
      </c>
      <c r="G10" s="23">
        <v>45464</v>
      </c>
      <c r="H10" s="15">
        <v>449.07249999999999</v>
      </c>
      <c r="I10" s="23">
        <v>45464</v>
      </c>
      <c r="J10" s="15">
        <v>2040.066</v>
      </c>
      <c r="K10" s="23">
        <v>45464</v>
      </c>
      <c r="L10" s="15">
        <v>1140.6799000000001</v>
      </c>
      <c r="M10" s="23">
        <v>45464</v>
      </c>
      <c r="N10" s="15">
        <v>241.25139999999999</v>
      </c>
      <c r="O10" s="23">
        <v>45464</v>
      </c>
      <c r="P10" s="15">
        <v>74.5608</v>
      </c>
      <c r="Q10" s="23">
        <v>45464</v>
      </c>
      <c r="R10" s="15">
        <v>639.95309999999995</v>
      </c>
      <c r="S10" s="23">
        <v>45464</v>
      </c>
      <c r="T10" s="15">
        <v>686.93799999999999</v>
      </c>
      <c r="U10" s="23">
        <v>45464</v>
      </c>
      <c r="V10" s="15">
        <v>57.040399999999998</v>
      </c>
      <c r="W10" s="23">
        <v>45464</v>
      </c>
      <c r="X10" s="15">
        <v>568.88900000000001</v>
      </c>
      <c r="Y10" s="23">
        <v>45464</v>
      </c>
      <c r="Z10" s="15">
        <v>3706.9353000000001</v>
      </c>
      <c r="AA10" s="23">
        <v>45464</v>
      </c>
      <c r="AB10" s="15">
        <v>1772.8354999999999</v>
      </c>
      <c r="AC10" s="23">
        <v>45464</v>
      </c>
      <c r="AD10" s="15">
        <v>357.99790000000002</v>
      </c>
      <c r="AE10" s="23">
        <v>45464</v>
      </c>
      <c r="AF10" s="15">
        <v>1023.9768</v>
      </c>
      <c r="AG10" s="23">
        <v>45464</v>
      </c>
      <c r="AH10" s="15">
        <v>1387.6351</v>
      </c>
    </row>
    <row r="11" spans="1:34">
      <c r="A11" s="23">
        <v>45471</v>
      </c>
      <c r="B11" s="15">
        <v>87.317400000000006</v>
      </c>
      <c r="C11" s="23">
        <v>45471</v>
      </c>
      <c r="D11" s="15">
        <v>678.31820000000005</v>
      </c>
      <c r="E11" s="23">
        <v>45466</v>
      </c>
      <c r="F11" s="15">
        <v>250.22839999999999</v>
      </c>
      <c r="G11" s="23">
        <v>45471</v>
      </c>
      <c r="H11" s="15">
        <v>448.01859999999999</v>
      </c>
      <c r="I11" s="23">
        <v>45471</v>
      </c>
      <c r="J11" s="15">
        <v>2039.9567999999999</v>
      </c>
      <c r="K11" s="23">
        <v>45471</v>
      </c>
      <c r="L11" s="15">
        <v>1140.0246</v>
      </c>
      <c r="M11" s="23">
        <v>45471</v>
      </c>
      <c r="N11" s="15">
        <v>241.3877</v>
      </c>
      <c r="O11" s="23">
        <v>45471</v>
      </c>
      <c r="P11" s="15">
        <v>74.259500000000003</v>
      </c>
      <c r="Q11" s="23">
        <v>45471</v>
      </c>
      <c r="R11" s="15">
        <v>648.57000000000005</v>
      </c>
      <c r="S11" s="23">
        <v>45471</v>
      </c>
      <c r="T11" s="15">
        <v>690.63469999999995</v>
      </c>
      <c r="U11" s="23">
        <v>45471</v>
      </c>
      <c r="V11" s="15">
        <v>57.088000000000001</v>
      </c>
      <c r="W11" s="23">
        <v>45471</v>
      </c>
      <c r="X11" s="15">
        <v>565.4692</v>
      </c>
      <c r="Y11" s="23">
        <v>45471</v>
      </c>
      <c r="Z11" s="15">
        <v>3706.6487000000002</v>
      </c>
      <c r="AA11" s="23">
        <v>45471</v>
      </c>
      <c r="AB11" s="15">
        <v>1785.5951</v>
      </c>
      <c r="AC11" s="23">
        <v>45471</v>
      </c>
      <c r="AD11" s="15">
        <v>359.09980000000002</v>
      </c>
      <c r="AE11" s="23">
        <v>45471</v>
      </c>
      <c r="AF11" s="15">
        <v>1025.7582</v>
      </c>
      <c r="AG11" s="23">
        <v>45471</v>
      </c>
      <c r="AH11" s="15">
        <v>1373.7943</v>
      </c>
    </row>
    <row r="12" spans="1:34">
      <c r="A12" s="24">
        <v>45478</v>
      </c>
      <c r="B12" s="15">
        <v>87.382599999999996</v>
      </c>
      <c r="C12" s="23">
        <v>45478</v>
      </c>
      <c r="D12" s="15">
        <v>678.27329999999995</v>
      </c>
      <c r="E12" s="23">
        <v>45473</v>
      </c>
      <c r="F12" s="15">
        <v>252.3956</v>
      </c>
      <c r="G12" s="23">
        <v>45478</v>
      </c>
      <c r="H12" s="15">
        <v>446.1866</v>
      </c>
      <c r="I12" s="23">
        <v>45478</v>
      </c>
      <c r="J12" s="15">
        <v>2038.3388</v>
      </c>
      <c r="K12" s="23">
        <v>45478</v>
      </c>
      <c r="L12" s="15">
        <v>1140.944</v>
      </c>
      <c r="M12" s="23">
        <v>45478</v>
      </c>
      <c r="N12" s="15">
        <v>241.16200000000001</v>
      </c>
      <c r="O12" s="23">
        <v>45478</v>
      </c>
      <c r="P12" s="15">
        <v>69.114599999999996</v>
      </c>
      <c r="Q12" s="23">
        <v>45478</v>
      </c>
      <c r="R12" s="15">
        <v>648.58550000000002</v>
      </c>
      <c r="S12" s="23">
        <v>45478</v>
      </c>
      <c r="T12" s="15">
        <v>686.56659999999999</v>
      </c>
      <c r="U12" s="23">
        <v>45478</v>
      </c>
      <c r="V12" s="15">
        <v>56.970500000000001</v>
      </c>
      <c r="W12" s="23">
        <v>45478</v>
      </c>
      <c r="X12" s="15">
        <v>563.40020000000004</v>
      </c>
      <c r="Y12" s="23">
        <v>45478</v>
      </c>
      <c r="Z12" s="15">
        <v>3691.6102999999998</v>
      </c>
      <c r="AA12" s="23">
        <v>45478</v>
      </c>
      <c r="AB12" s="15">
        <v>1785.5728999999999</v>
      </c>
      <c r="AC12" s="23">
        <v>45478</v>
      </c>
      <c r="AD12" s="15">
        <v>358.33629999999999</v>
      </c>
      <c r="AE12" s="23">
        <v>45478</v>
      </c>
      <c r="AF12" s="15">
        <v>1030.904</v>
      </c>
      <c r="AG12" s="23">
        <v>45478</v>
      </c>
      <c r="AH12" s="15">
        <v>1372.8488</v>
      </c>
    </row>
    <row r="13" spans="1:34">
      <c r="A13" s="23">
        <v>45485</v>
      </c>
      <c r="B13" s="15">
        <v>87.549499999999995</v>
      </c>
      <c r="C13" s="23">
        <v>45485</v>
      </c>
      <c r="D13" s="15">
        <v>677.72649999999999</v>
      </c>
      <c r="E13" s="23">
        <v>45480</v>
      </c>
      <c r="F13" s="15">
        <v>253.97</v>
      </c>
      <c r="G13" s="23">
        <v>45485</v>
      </c>
      <c r="H13" s="15">
        <v>443.1694</v>
      </c>
      <c r="I13" s="23">
        <v>45485</v>
      </c>
      <c r="J13" s="15">
        <v>2039.8095000000001</v>
      </c>
      <c r="K13" s="23">
        <v>45485</v>
      </c>
      <c r="L13" s="15">
        <v>1141.5214000000001</v>
      </c>
      <c r="M13" s="23">
        <v>45485</v>
      </c>
      <c r="N13" s="15">
        <v>240.49010000000001</v>
      </c>
      <c r="O13" s="23">
        <v>45485</v>
      </c>
      <c r="P13" s="15">
        <v>68.721699999999998</v>
      </c>
      <c r="Q13" s="23">
        <v>45485</v>
      </c>
      <c r="R13" s="15">
        <v>648.82669999999996</v>
      </c>
      <c r="S13" s="23">
        <v>45485</v>
      </c>
      <c r="T13" s="15">
        <v>678.71439999999996</v>
      </c>
      <c r="U13" s="23">
        <v>45485</v>
      </c>
      <c r="V13" s="15">
        <v>56.694400000000002</v>
      </c>
      <c r="W13" s="23">
        <v>45485</v>
      </c>
      <c r="X13" s="15">
        <v>560.47540000000004</v>
      </c>
      <c r="Y13" s="23">
        <v>45485</v>
      </c>
      <c r="Z13" s="15">
        <v>3682.2262999999998</v>
      </c>
      <c r="AA13" s="23">
        <v>45485</v>
      </c>
      <c r="AB13" s="15">
        <v>1795.0522000000001</v>
      </c>
      <c r="AC13" s="23">
        <v>45485</v>
      </c>
      <c r="AD13" s="15">
        <v>358.5317</v>
      </c>
      <c r="AE13" s="23">
        <v>45485</v>
      </c>
      <c r="AF13" s="15">
        <v>1028.8945000000001</v>
      </c>
      <c r="AG13" s="23">
        <v>45485</v>
      </c>
      <c r="AH13" s="15">
        <v>1384.2216000000001</v>
      </c>
    </row>
    <row r="14" spans="1:34">
      <c r="A14" s="24">
        <v>45492</v>
      </c>
      <c r="B14" s="15">
        <v>87.343599999999995</v>
      </c>
      <c r="C14" s="23">
        <v>45492</v>
      </c>
      <c r="D14" s="15">
        <v>677.39509999999996</v>
      </c>
      <c r="E14" s="23">
        <v>45487</v>
      </c>
      <c r="F14" s="15">
        <v>256.36329999999998</v>
      </c>
      <c r="G14" s="23">
        <v>45492</v>
      </c>
      <c r="H14" s="15">
        <v>444.89490000000001</v>
      </c>
      <c r="I14" s="23">
        <v>45492</v>
      </c>
      <c r="J14" s="15">
        <v>2036.8715</v>
      </c>
      <c r="K14" s="23">
        <v>45492</v>
      </c>
      <c r="L14" s="15">
        <v>1139.7373</v>
      </c>
      <c r="M14" s="23">
        <v>45492</v>
      </c>
      <c r="N14" s="15">
        <v>240.30590000000001</v>
      </c>
      <c r="O14" s="23">
        <v>45492</v>
      </c>
      <c r="P14" s="15">
        <v>68.271000000000001</v>
      </c>
      <c r="Q14" s="23">
        <v>45492</v>
      </c>
      <c r="R14" s="15">
        <v>649.96230000000003</v>
      </c>
      <c r="S14" s="23">
        <v>45492</v>
      </c>
      <c r="T14" s="15">
        <v>676.34220000000005</v>
      </c>
      <c r="U14" s="23">
        <v>45492</v>
      </c>
      <c r="V14" s="15">
        <v>56.659700000000001</v>
      </c>
      <c r="W14" s="23">
        <v>45492</v>
      </c>
      <c r="X14" s="15">
        <v>559.83079999999995</v>
      </c>
      <c r="Y14" s="23">
        <v>45492</v>
      </c>
      <c r="Z14" s="15">
        <v>3670.2325999999998</v>
      </c>
      <c r="AA14" s="23">
        <v>45492</v>
      </c>
      <c r="AB14" s="15">
        <v>1802.1687999999999</v>
      </c>
      <c r="AC14" s="23">
        <v>45492</v>
      </c>
      <c r="AD14" s="15">
        <v>357.9751</v>
      </c>
      <c r="AE14" s="23">
        <v>45492</v>
      </c>
      <c r="AF14" s="15">
        <v>1025.6115</v>
      </c>
      <c r="AG14" s="23">
        <v>45492</v>
      </c>
      <c r="AH14" s="15">
        <v>1378.538</v>
      </c>
    </row>
    <row r="15" spans="1:34">
      <c r="A15" s="23">
        <v>45499</v>
      </c>
      <c r="B15" s="15">
        <v>87.267700000000005</v>
      </c>
      <c r="C15" s="23">
        <v>45499</v>
      </c>
      <c r="D15" s="15">
        <v>668.23329999999999</v>
      </c>
      <c r="E15" s="23">
        <v>45494</v>
      </c>
      <c r="F15" s="15">
        <v>255.2567</v>
      </c>
      <c r="G15" s="23">
        <v>45499</v>
      </c>
      <c r="H15" s="15">
        <v>440.86509999999998</v>
      </c>
      <c r="I15" s="23">
        <v>45499</v>
      </c>
      <c r="J15" s="15">
        <v>2032.2148</v>
      </c>
      <c r="K15" s="23">
        <v>45499</v>
      </c>
      <c r="L15" s="15">
        <v>1137.5418</v>
      </c>
      <c r="M15" s="23">
        <v>45499</v>
      </c>
      <c r="N15" s="15">
        <v>240.2628</v>
      </c>
      <c r="O15" s="23">
        <v>45499</v>
      </c>
      <c r="P15" s="15">
        <v>67.054400000000001</v>
      </c>
      <c r="Q15" s="23">
        <v>45499</v>
      </c>
      <c r="R15" s="15">
        <v>651.72799999999995</v>
      </c>
      <c r="S15" s="23">
        <v>45499</v>
      </c>
      <c r="T15" s="15">
        <v>677.3981</v>
      </c>
      <c r="U15" s="23">
        <v>45499</v>
      </c>
      <c r="V15" s="15">
        <v>56.869700000000002</v>
      </c>
      <c r="W15" s="23">
        <v>45499</v>
      </c>
      <c r="X15" s="15">
        <v>552.54510000000005</v>
      </c>
      <c r="Y15" s="23">
        <v>45499</v>
      </c>
      <c r="Z15" s="15">
        <v>3637.4167000000002</v>
      </c>
      <c r="AA15" s="23">
        <v>45499</v>
      </c>
      <c r="AB15" s="15">
        <v>1810.5907</v>
      </c>
      <c r="AC15" s="23">
        <v>45499</v>
      </c>
      <c r="AD15" s="15">
        <v>356.86559999999997</v>
      </c>
      <c r="AE15" s="23">
        <v>45499</v>
      </c>
      <c r="AF15" s="15">
        <v>1027.0639000000001</v>
      </c>
      <c r="AG15" s="23">
        <v>45499</v>
      </c>
      <c r="AH15" s="15">
        <v>1371.2028</v>
      </c>
    </row>
    <row r="16" spans="1:34">
      <c r="A16" s="24">
        <v>45506</v>
      </c>
      <c r="B16" s="15">
        <v>87.122299999999996</v>
      </c>
      <c r="C16" s="23">
        <v>45506</v>
      </c>
      <c r="D16" s="15">
        <v>663.36469999999997</v>
      </c>
      <c r="E16" s="23">
        <v>45501</v>
      </c>
      <c r="F16" s="15">
        <v>257.77269999999999</v>
      </c>
      <c r="G16" s="23">
        <v>45506</v>
      </c>
      <c r="H16" s="15">
        <v>441.04140000000001</v>
      </c>
      <c r="I16" s="23">
        <v>45506</v>
      </c>
      <c r="J16" s="15">
        <v>2033.7514000000001</v>
      </c>
      <c r="K16" s="23">
        <v>45506</v>
      </c>
      <c r="L16" s="15">
        <v>1136.0763999999999</v>
      </c>
      <c r="M16" s="23">
        <v>45506</v>
      </c>
      <c r="N16" s="15">
        <v>240.23240000000001</v>
      </c>
      <c r="O16" s="23">
        <v>45506</v>
      </c>
      <c r="P16" s="15">
        <v>65.863799999999998</v>
      </c>
      <c r="Q16" s="23">
        <v>45506</v>
      </c>
      <c r="R16" s="15">
        <v>646.64710000000002</v>
      </c>
      <c r="S16" s="23">
        <v>45506</v>
      </c>
      <c r="T16" s="15">
        <v>677.05930000000001</v>
      </c>
      <c r="U16" s="23">
        <v>45506</v>
      </c>
      <c r="V16" s="15">
        <v>56.820300000000003</v>
      </c>
      <c r="W16" s="23">
        <v>45506</v>
      </c>
      <c r="X16" s="15">
        <v>549.85479999999995</v>
      </c>
      <c r="Y16" s="23">
        <v>45506</v>
      </c>
      <c r="Z16" s="15">
        <v>3643.0336000000002</v>
      </c>
      <c r="AA16" s="23">
        <v>45506</v>
      </c>
      <c r="AB16" s="15">
        <v>1833.3234</v>
      </c>
      <c r="AC16" s="23">
        <v>45506</v>
      </c>
      <c r="AD16" s="15">
        <v>356.68079999999998</v>
      </c>
      <c r="AE16" s="23">
        <v>45506</v>
      </c>
      <c r="AF16" s="15">
        <v>1038.6935000000001</v>
      </c>
      <c r="AG16" s="23">
        <v>45506</v>
      </c>
      <c r="AH16" s="15">
        <v>1367.7094999999999</v>
      </c>
    </row>
    <row r="17" spans="1:34">
      <c r="A17" s="23">
        <v>45513</v>
      </c>
      <c r="B17" s="15">
        <v>87.210899999999995</v>
      </c>
      <c r="C17" s="23">
        <v>45513</v>
      </c>
      <c r="D17" s="15">
        <v>655.89750000000004</v>
      </c>
      <c r="E17" s="23">
        <v>45508</v>
      </c>
      <c r="F17" s="15">
        <v>258.255</v>
      </c>
      <c r="G17" s="23">
        <v>45513</v>
      </c>
      <c r="H17" s="15">
        <v>438.51510000000002</v>
      </c>
      <c r="I17" s="23">
        <v>45513</v>
      </c>
      <c r="J17" s="15">
        <v>2041.7339999999999</v>
      </c>
      <c r="K17" s="23">
        <v>45513</v>
      </c>
      <c r="L17" s="15">
        <v>1138.3798999999999</v>
      </c>
      <c r="M17" s="23">
        <v>45513</v>
      </c>
      <c r="N17" s="15">
        <v>240.0427</v>
      </c>
      <c r="O17" s="23">
        <v>45513</v>
      </c>
      <c r="P17" s="15">
        <v>62.126399999999997</v>
      </c>
      <c r="Q17" s="23">
        <v>45513</v>
      </c>
      <c r="R17" s="15">
        <v>648.52430000000004</v>
      </c>
      <c r="S17" s="23">
        <v>45513</v>
      </c>
      <c r="T17" s="15">
        <v>679.6952</v>
      </c>
      <c r="U17" s="23">
        <v>45513</v>
      </c>
      <c r="V17" s="15">
        <v>56.958500000000001</v>
      </c>
      <c r="W17" s="23">
        <v>45513</v>
      </c>
      <c r="X17" s="15">
        <v>548.74170000000004</v>
      </c>
      <c r="Y17" s="23">
        <v>45513</v>
      </c>
      <c r="Z17" s="15">
        <v>3627.0311000000002</v>
      </c>
      <c r="AA17" s="23">
        <v>45513</v>
      </c>
      <c r="AB17" s="15">
        <v>1839.0605</v>
      </c>
      <c r="AC17" s="23">
        <v>45513</v>
      </c>
      <c r="AD17" s="15">
        <v>355.97879999999998</v>
      </c>
      <c r="AE17" s="23">
        <v>45513</v>
      </c>
      <c r="AF17" s="15">
        <v>1041.6300000000001</v>
      </c>
      <c r="AG17" s="23">
        <v>45513</v>
      </c>
      <c r="AH17" s="15">
        <v>1365.0630000000001</v>
      </c>
    </row>
    <row r="18" spans="1:34">
      <c r="A18" s="24">
        <v>45520</v>
      </c>
      <c r="B18" s="15">
        <v>86.905500000000004</v>
      </c>
      <c r="C18" s="23">
        <v>45520</v>
      </c>
      <c r="D18" s="15">
        <v>651.52459999999996</v>
      </c>
      <c r="E18" s="23">
        <v>45515</v>
      </c>
      <c r="F18" s="15">
        <v>259.06020000000001</v>
      </c>
      <c r="G18" s="23">
        <v>45520</v>
      </c>
      <c r="H18" s="15">
        <v>434.04590000000002</v>
      </c>
      <c r="I18" s="23">
        <v>45520</v>
      </c>
      <c r="J18" s="15">
        <v>2044.8240000000001</v>
      </c>
      <c r="K18" s="23">
        <v>45520</v>
      </c>
      <c r="L18" s="15">
        <v>1136.2076999999999</v>
      </c>
      <c r="M18" s="23">
        <v>45520</v>
      </c>
      <c r="N18" s="15">
        <v>239.08629999999999</v>
      </c>
      <c r="O18" s="23">
        <v>45520</v>
      </c>
      <c r="P18" s="15">
        <v>61.333100000000002</v>
      </c>
      <c r="Q18" s="23">
        <v>45520</v>
      </c>
      <c r="R18" s="15">
        <v>653.16089999999997</v>
      </c>
      <c r="S18" s="23">
        <v>45520</v>
      </c>
      <c r="T18" s="15">
        <v>676.57799999999997</v>
      </c>
      <c r="U18" s="23">
        <v>45520</v>
      </c>
      <c r="V18" s="15">
        <v>56.8431</v>
      </c>
      <c r="W18" s="23">
        <v>45520</v>
      </c>
      <c r="X18" s="15">
        <v>547.81510000000003</v>
      </c>
      <c r="Y18" s="23">
        <v>45520</v>
      </c>
      <c r="Z18" s="15">
        <v>3633.9502000000002</v>
      </c>
      <c r="AA18" s="23">
        <v>45520</v>
      </c>
      <c r="AB18" s="15">
        <v>1835.7704000000001</v>
      </c>
      <c r="AC18" s="23">
        <v>45520</v>
      </c>
      <c r="AD18" s="15">
        <v>356.21039999999999</v>
      </c>
      <c r="AE18" s="23">
        <v>45520</v>
      </c>
      <c r="AF18" s="15">
        <v>1042.9751000000001</v>
      </c>
      <c r="AG18" s="23">
        <v>45520</v>
      </c>
      <c r="AH18" s="15">
        <v>1369.3062</v>
      </c>
    </row>
    <row r="19" spans="1:34">
      <c r="A19" s="23">
        <v>45527</v>
      </c>
      <c r="B19" s="15">
        <v>86.477900000000005</v>
      </c>
      <c r="C19" s="23">
        <v>45527</v>
      </c>
      <c r="D19" s="15">
        <v>650.44979999999998</v>
      </c>
      <c r="E19" s="23">
        <v>45522</v>
      </c>
      <c r="F19" s="15">
        <v>260.6728</v>
      </c>
      <c r="G19" s="23">
        <v>45527</v>
      </c>
      <c r="H19" s="15">
        <v>420.6925</v>
      </c>
      <c r="I19" s="23">
        <v>45527</v>
      </c>
      <c r="J19" s="15">
        <v>2058.3807999999999</v>
      </c>
      <c r="K19" s="23">
        <v>45527</v>
      </c>
      <c r="L19" s="15">
        <v>1137.5269000000001</v>
      </c>
      <c r="M19" s="23">
        <v>45527</v>
      </c>
      <c r="N19" s="15">
        <v>238.99690000000001</v>
      </c>
      <c r="O19" s="23">
        <v>45527</v>
      </c>
      <c r="P19" s="15">
        <v>61.759599999999999</v>
      </c>
      <c r="Q19" s="23">
        <v>45527</v>
      </c>
      <c r="R19" s="15">
        <v>648.54359999999997</v>
      </c>
      <c r="S19" s="23">
        <v>45527</v>
      </c>
      <c r="T19" s="15">
        <v>670.65150000000006</v>
      </c>
      <c r="U19" s="23">
        <v>45527</v>
      </c>
      <c r="V19" s="15">
        <v>56.5959</v>
      </c>
      <c r="W19" s="23">
        <v>45527</v>
      </c>
      <c r="X19" s="15">
        <v>546.01549999999997</v>
      </c>
      <c r="Y19" s="23">
        <v>45527</v>
      </c>
      <c r="Z19" s="15">
        <v>3636.0030999999999</v>
      </c>
      <c r="AA19" s="23">
        <v>45527</v>
      </c>
      <c r="AB19" s="15">
        <v>1829.9041</v>
      </c>
      <c r="AC19" s="23">
        <v>45527</v>
      </c>
      <c r="AD19" s="15">
        <v>355.78919999999999</v>
      </c>
      <c r="AE19" s="23">
        <v>45527</v>
      </c>
      <c r="AF19" s="15">
        <v>1044.6976999999999</v>
      </c>
      <c r="AG19" s="23">
        <v>45527</v>
      </c>
      <c r="AH19" s="15">
        <v>1369.3209999999999</v>
      </c>
    </row>
    <row r="20" spans="1:34">
      <c r="A20" s="24">
        <v>45534</v>
      </c>
      <c r="B20" s="15">
        <v>87.090500000000006</v>
      </c>
      <c r="C20" s="23">
        <v>45534</v>
      </c>
      <c r="D20" s="15">
        <v>650.52239999999995</v>
      </c>
      <c r="E20" s="23">
        <v>45529</v>
      </c>
      <c r="F20" s="15">
        <v>261.94810000000001</v>
      </c>
      <c r="G20" s="23">
        <v>45534</v>
      </c>
      <c r="H20" s="15">
        <v>423.387</v>
      </c>
      <c r="I20" s="23">
        <v>45534</v>
      </c>
      <c r="J20" s="15">
        <v>2074.2721000000001</v>
      </c>
      <c r="K20" s="23">
        <v>45534</v>
      </c>
      <c r="L20" s="15">
        <v>1138.0092</v>
      </c>
      <c r="M20" s="23">
        <v>45534</v>
      </c>
      <c r="N20" s="15">
        <v>238.99979999999999</v>
      </c>
      <c r="O20" s="23">
        <v>45534</v>
      </c>
      <c r="P20" s="15">
        <v>61.380099999999999</v>
      </c>
      <c r="Q20" s="23">
        <v>45534</v>
      </c>
      <c r="R20" s="15">
        <v>648.42240000000004</v>
      </c>
      <c r="S20" s="23">
        <v>45534</v>
      </c>
      <c r="T20" s="15">
        <v>668.61789999999996</v>
      </c>
      <c r="U20" s="23">
        <v>45534</v>
      </c>
      <c r="V20" s="15">
        <v>56.500799999999998</v>
      </c>
      <c r="W20" s="23">
        <v>45534</v>
      </c>
      <c r="X20" s="15">
        <v>545.32539999999995</v>
      </c>
      <c r="Y20" s="23">
        <v>45534</v>
      </c>
      <c r="Z20" s="15">
        <v>3626.0500999999999</v>
      </c>
      <c r="AA20" s="23">
        <v>45534</v>
      </c>
      <c r="AB20" s="15">
        <v>1820.3641</v>
      </c>
      <c r="AC20" s="23">
        <v>45534</v>
      </c>
      <c r="AD20" s="15">
        <v>355.27359999999999</v>
      </c>
      <c r="AE20" s="23">
        <v>45534</v>
      </c>
      <c r="AF20" s="15">
        <v>1047.2654</v>
      </c>
      <c r="AG20" s="23">
        <v>45534</v>
      </c>
      <c r="AH20" s="15">
        <v>1366.7425000000001</v>
      </c>
    </row>
    <row r="21" spans="1:34">
      <c r="A21" s="23">
        <v>45541</v>
      </c>
      <c r="B21" s="15">
        <v>86.975800000000007</v>
      </c>
      <c r="C21" s="23">
        <v>45541</v>
      </c>
      <c r="D21" s="15">
        <v>647.51289999999995</v>
      </c>
      <c r="E21" s="23">
        <v>45536</v>
      </c>
      <c r="F21" s="15">
        <v>262.26299999999998</v>
      </c>
      <c r="G21" s="23">
        <v>45541</v>
      </c>
      <c r="H21" s="15">
        <v>423.5394</v>
      </c>
      <c r="I21" s="23">
        <v>45541</v>
      </c>
      <c r="J21" s="15">
        <v>2072.3175999999999</v>
      </c>
      <c r="K21" s="23">
        <v>45541</v>
      </c>
      <c r="L21" s="15">
        <v>1140.3136999999999</v>
      </c>
      <c r="M21" s="23">
        <v>45541</v>
      </c>
      <c r="N21" s="15">
        <v>238.84469999999999</v>
      </c>
      <c r="O21" s="23">
        <v>45541</v>
      </c>
      <c r="P21" s="15">
        <v>60.848799999999997</v>
      </c>
      <c r="Q21" s="23">
        <v>45541</v>
      </c>
      <c r="R21" s="15">
        <v>646.12909999999999</v>
      </c>
      <c r="S21" s="23">
        <v>45541</v>
      </c>
      <c r="T21" s="15">
        <v>666.9982</v>
      </c>
      <c r="U21" s="23">
        <v>45541</v>
      </c>
      <c r="V21" s="15">
        <v>56.397300000000001</v>
      </c>
      <c r="W21" s="23">
        <v>45541</v>
      </c>
      <c r="X21" s="15">
        <v>545.30340000000001</v>
      </c>
      <c r="Y21" s="23">
        <v>45541</v>
      </c>
      <c r="Z21" s="15">
        <v>3624.7640999999999</v>
      </c>
      <c r="AA21" s="23">
        <v>45541</v>
      </c>
      <c r="AB21" s="15">
        <v>1817.5181</v>
      </c>
      <c r="AC21" s="23">
        <v>45541</v>
      </c>
      <c r="AD21" s="15">
        <v>354.51170000000002</v>
      </c>
      <c r="AE21" s="23">
        <v>45541</v>
      </c>
      <c r="AF21" s="15">
        <v>1049.2859000000001</v>
      </c>
      <c r="AG21" s="23">
        <v>45541</v>
      </c>
      <c r="AH21" s="15">
        <v>1360.8729000000001</v>
      </c>
    </row>
    <row r="22" spans="1:34">
      <c r="A22" s="24">
        <v>45548</v>
      </c>
      <c r="B22" s="15">
        <v>86.200500000000005</v>
      </c>
      <c r="C22" s="23">
        <v>45548</v>
      </c>
      <c r="D22" s="15">
        <v>646.65809999999999</v>
      </c>
      <c r="E22" s="23">
        <v>45543</v>
      </c>
      <c r="F22" s="15">
        <v>262.83300000000003</v>
      </c>
      <c r="G22" s="23">
        <v>45548</v>
      </c>
      <c r="H22" s="15">
        <v>422.34399999999999</v>
      </c>
      <c r="I22" s="23">
        <v>45548</v>
      </c>
      <c r="J22" s="15">
        <v>2085.2060000000001</v>
      </c>
      <c r="K22" s="23">
        <v>45548</v>
      </c>
      <c r="L22" s="15">
        <v>1145.1472000000001</v>
      </c>
      <c r="M22" s="23">
        <v>45548</v>
      </c>
      <c r="N22" s="15">
        <v>238.50149999999999</v>
      </c>
      <c r="O22" s="23">
        <v>45548</v>
      </c>
      <c r="P22" s="15">
        <v>60.509799999999998</v>
      </c>
      <c r="Q22" s="23">
        <v>45548</v>
      </c>
      <c r="R22" s="15">
        <v>647.97339999999997</v>
      </c>
      <c r="S22" s="23">
        <v>45548</v>
      </c>
      <c r="T22" s="15">
        <v>665.7038</v>
      </c>
      <c r="U22" s="23">
        <v>45548</v>
      </c>
      <c r="V22" s="15">
        <v>56.466500000000003</v>
      </c>
      <c r="W22" s="23">
        <v>45548</v>
      </c>
      <c r="X22" s="15">
        <v>544.71559999999999</v>
      </c>
      <c r="Y22" s="23">
        <v>45548</v>
      </c>
      <c r="Z22" s="15">
        <v>3620.4159</v>
      </c>
      <c r="AA22" s="23">
        <v>45548</v>
      </c>
      <c r="AB22" s="15">
        <v>1820.2819</v>
      </c>
      <c r="AC22" s="23">
        <v>45548</v>
      </c>
      <c r="AD22" s="15">
        <v>353.35579999999999</v>
      </c>
      <c r="AE22" s="23">
        <v>45548</v>
      </c>
      <c r="AF22" s="15">
        <v>1049.5661</v>
      </c>
      <c r="AG22" s="23">
        <v>45548</v>
      </c>
      <c r="AH22" s="15">
        <v>1352.1799000000001</v>
      </c>
    </row>
    <row r="23" spans="1:34">
      <c r="A23" s="23">
        <v>45555</v>
      </c>
      <c r="B23" s="15">
        <v>85.670100000000005</v>
      </c>
      <c r="C23" s="23">
        <v>45555</v>
      </c>
      <c r="D23" s="15">
        <v>646.60170000000005</v>
      </c>
      <c r="E23" s="23">
        <v>45550</v>
      </c>
      <c r="F23" s="15">
        <v>259.98489999999998</v>
      </c>
      <c r="G23" s="23">
        <v>45555</v>
      </c>
      <c r="H23" s="15">
        <v>419.5462</v>
      </c>
      <c r="I23" s="23">
        <v>45555</v>
      </c>
      <c r="J23" s="15">
        <v>2091.0814999999998</v>
      </c>
      <c r="K23" s="23">
        <v>45555</v>
      </c>
      <c r="L23" s="15">
        <v>1145.5776000000001</v>
      </c>
      <c r="M23" s="23">
        <v>45555</v>
      </c>
      <c r="N23" s="15">
        <v>238.08250000000001</v>
      </c>
      <c r="O23" s="23">
        <v>45555</v>
      </c>
      <c r="P23" s="15">
        <v>60.071300000000001</v>
      </c>
      <c r="Q23" s="23">
        <v>45555</v>
      </c>
      <c r="R23" s="15">
        <v>648.24530000000004</v>
      </c>
      <c r="S23" s="23">
        <v>45555</v>
      </c>
      <c r="T23" s="15">
        <v>659.23519999999996</v>
      </c>
      <c r="U23" s="23">
        <v>45555</v>
      </c>
      <c r="V23" s="15">
        <v>56.220599999999997</v>
      </c>
      <c r="W23" s="23">
        <v>45555</v>
      </c>
      <c r="X23" s="15">
        <v>541.71050000000002</v>
      </c>
      <c r="Y23" s="23">
        <v>45555</v>
      </c>
      <c r="Z23" s="15">
        <v>3606.3912999999998</v>
      </c>
      <c r="AA23" s="23">
        <v>45555</v>
      </c>
      <c r="AB23" s="15">
        <v>1818.5129999999999</v>
      </c>
      <c r="AC23" s="23">
        <v>45555</v>
      </c>
      <c r="AD23" s="15">
        <v>352.0496</v>
      </c>
      <c r="AE23" s="23">
        <v>45555</v>
      </c>
      <c r="AF23" s="15">
        <v>1048.1748</v>
      </c>
      <c r="AG23" s="23">
        <v>45555</v>
      </c>
      <c r="AH23" s="15">
        <v>1346.7991</v>
      </c>
    </row>
    <row r="24" spans="1:34">
      <c r="A24" s="24">
        <v>45562</v>
      </c>
      <c r="B24" s="15">
        <v>85.718699999999998</v>
      </c>
      <c r="C24" s="23">
        <v>45562</v>
      </c>
      <c r="D24" s="15">
        <v>646.17420000000004</v>
      </c>
      <c r="E24" s="23">
        <v>45557</v>
      </c>
      <c r="F24" s="15">
        <v>259.82029999999997</v>
      </c>
      <c r="G24" s="23">
        <v>45562</v>
      </c>
      <c r="H24" s="15">
        <v>412.8963</v>
      </c>
      <c r="I24" s="23">
        <v>45562</v>
      </c>
      <c r="J24" s="15">
        <v>2086.5221999999999</v>
      </c>
      <c r="K24" s="23">
        <v>45562</v>
      </c>
      <c r="L24" s="15">
        <v>1142.32</v>
      </c>
      <c r="M24" s="23">
        <v>45562</v>
      </c>
      <c r="N24" s="15">
        <v>237.76480000000001</v>
      </c>
      <c r="O24" s="23">
        <v>45562</v>
      </c>
      <c r="P24" s="15">
        <v>59.447600000000001</v>
      </c>
      <c r="Q24" s="23">
        <v>45562</v>
      </c>
      <c r="R24" s="15">
        <v>646.80319999999995</v>
      </c>
      <c r="S24" s="23">
        <v>45562</v>
      </c>
      <c r="T24" s="15">
        <v>659.54510000000005</v>
      </c>
      <c r="U24" s="23">
        <v>45562</v>
      </c>
      <c r="V24" s="15">
        <v>56.104500000000002</v>
      </c>
      <c r="W24" s="23">
        <v>45562</v>
      </c>
      <c r="X24" s="15">
        <v>539.99950000000001</v>
      </c>
      <c r="Y24" s="23">
        <v>45562</v>
      </c>
      <c r="Z24" s="15">
        <v>3619.9654999999998</v>
      </c>
      <c r="AA24" s="23">
        <v>45562</v>
      </c>
      <c r="AB24" s="15">
        <v>1823.5871999999999</v>
      </c>
      <c r="AC24" s="23">
        <v>45562</v>
      </c>
      <c r="AD24" s="15">
        <v>349.33069999999998</v>
      </c>
      <c r="AE24" s="23">
        <v>45562</v>
      </c>
      <c r="AF24" s="15">
        <v>1045.3833</v>
      </c>
      <c r="AG24" s="23">
        <v>45562</v>
      </c>
      <c r="AH24" s="15">
        <v>1338.9984999999999</v>
      </c>
    </row>
    <row r="25" spans="1:34">
      <c r="A25" s="23">
        <v>45569</v>
      </c>
      <c r="B25" s="15">
        <v>85.748099999999994</v>
      </c>
      <c r="C25" s="23">
        <v>45569</v>
      </c>
      <c r="D25" s="15">
        <v>645.67930000000001</v>
      </c>
      <c r="E25" s="23">
        <v>45564</v>
      </c>
      <c r="F25" s="15">
        <v>257.58550000000002</v>
      </c>
      <c r="G25" s="23">
        <v>45569</v>
      </c>
      <c r="H25" s="15">
        <v>412.90089999999998</v>
      </c>
      <c r="I25" s="23">
        <v>45569</v>
      </c>
      <c r="J25" s="15">
        <v>2087.9861999999998</v>
      </c>
      <c r="K25" s="23">
        <v>45569</v>
      </c>
      <c r="L25" s="15">
        <v>1144.4641999999999</v>
      </c>
      <c r="M25" s="23">
        <v>45569</v>
      </c>
      <c r="N25" s="15">
        <v>237.37450000000001</v>
      </c>
      <c r="O25" s="23">
        <v>45569</v>
      </c>
      <c r="P25" s="15">
        <v>58.387500000000003</v>
      </c>
      <c r="Q25" s="23">
        <v>45569</v>
      </c>
      <c r="R25" s="15">
        <v>651.19560000000001</v>
      </c>
      <c r="S25" s="23">
        <v>45569</v>
      </c>
      <c r="T25" s="15">
        <v>664.59559999999999</v>
      </c>
      <c r="U25" s="23">
        <v>45569</v>
      </c>
      <c r="V25" s="15">
        <v>56.259799999999998</v>
      </c>
      <c r="W25" s="23">
        <v>45569</v>
      </c>
      <c r="X25" s="15">
        <v>528.39149999999995</v>
      </c>
      <c r="Y25" s="23">
        <v>45569</v>
      </c>
      <c r="Z25" s="15">
        <v>3448.1448</v>
      </c>
      <c r="AA25" s="23">
        <v>45569</v>
      </c>
      <c r="AB25" s="15">
        <v>1829.9049</v>
      </c>
      <c r="AC25" s="23">
        <v>45569</v>
      </c>
      <c r="AD25" s="15">
        <v>345.11810000000003</v>
      </c>
      <c r="AE25" s="23">
        <v>45569</v>
      </c>
      <c r="AF25" s="15">
        <v>1048.5121999999999</v>
      </c>
      <c r="AG25" s="23">
        <v>45569</v>
      </c>
      <c r="AH25" s="15">
        <v>1330.5997</v>
      </c>
    </row>
    <row r="26" spans="1:34">
      <c r="A26" s="24">
        <v>45576</v>
      </c>
      <c r="B26" s="15">
        <v>85.892899999999997</v>
      </c>
      <c r="C26" s="23">
        <v>45576</v>
      </c>
      <c r="D26" s="15">
        <v>646.30399999999997</v>
      </c>
      <c r="E26" s="23">
        <v>45571</v>
      </c>
      <c r="F26" s="15">
        <v>255.7929</v>
      </c>
      <c r="G26" s="23">
        <v>45576</v>
      </c>
      <c r="H26" s="15">
        <v>414.31319999999999</v>
      </c>
      <c r="I26" s="23">
        <v>45576</v>
      </c>
      <c r="J26" s="15">
        <v>2080.2156</v>
      </c>
      <c r="K26" s="23">
        <v>45576</v>
      </c>
      <c r="L26" s="15">
        <v>1150.1463000000001</v>
      </c>
      <c r="M26" s="23">
        <v>45576</v>
      </c>
      <c r="N26" s="15">
        <v>237.0266</v>
      </c>
      <c r="O26" s="23">
        <v>45576</v>
      </c>
      <c r="P26" s="15">
        <v>57.585500000000003</v>
      </c>
      <c r="Q26" s="23">
        <v>45576</v>
      </c>
      <c r="R26" s="15">
        <v>649.84249999999997</v>
      </c>
      <c r="S26" s="23">
        <v>45576</v>
      </c>
      <c r="T26" s="15">
        <v>663.26300000000003</v>
      </c>
      <c r="U26" s="23">
        <v>45576</v>
      </c>
      <c r="V26" s="15">
        <v>56.033499999999997</v>
      </c>
      <c r="W26" s="23">
        <v>45576</v>
      </c>
      <c r="X26" s="15">
        <v>524.81820000000005</v>
      </c>
      <c r="Y26" s="23">
        <v>45576</v>
      </c>
      <c r="Z26" s="15">
        <v>3412.2138</v>
      </c>
      <c r="AA26" s="23">
        <v>45576</v>
      </c>
      <c r="AB26" s="15">
        <v>1859.9353000000001</v>
      </c>
      <c r="AC26" s="23">
        <v>45576</v>
      </c>
      <c r="AD26" s="15">
        <v>343.93220000000002</v>
      </c>
      <c r="AE26" s="23">
        <v>45576</v>
      </c>
      <c r="AF26" s="15">
        <v>1050.5567000000001</v>
      </c>
      <c r="AG26" s="23">
        <v>45576</v>
      </c>
      <c r="AH26" s="15">
        <v>1325.7541000000001</v>
      </c>
    </row>
    <row r="27" spans="1:34">
      <c r="A27" s="23">
        <v>45583</v>
      </c>
      <c r="B27" s="15">
        <v>85.579099999999997</v>
      </c>
      <c r="C27" s="23">
        <v>45583</v>
      </c>
      <c r="D27" s="15">
        <v>646.63379999999995</v>
      </c>
      <c r="E27" s="23">
        <v>45578</v>
      </c>
      <c r="F27" s="15">
        <v>253.6703</v>
      </c>
      <c r="G27" s="23">
        <v>45583</v>
      </c>
      <c r="H27" s="15">
        <v>414.59570000000002</v>
      </c>
      <c r="I27" s="23">
        <v>45583</v>
      </c>
      <c r="J27" s="15">
        <v>2080.623</v>
      </c>
      <c r="K27" s="23">
        <v>45583</v>
      </c>
      <c r="L27" s="15">
        <v>1153.2599</v>
      </c>
      <c r="M27" s="23">
        <v>45583</v>
      </c>
      <c r="N27" s="15">
        <v>236.4898</v>
      </c>
      <c r="O27" s="23">
        <v>45583</v>
      </c>
      <c r="P27" s="15">
        <v>57.2226</v>
      </c>
      <c r="Q27" s="23">
        <v>45583</v>
      </c>
      <c r="R27" s="15">
        <v>651.15679999999998</v>
      </c>
      <c r="S27" s="23">
        <v>45583</v>
      </c>
      <c r="T27" s="15">
        <v>660.81600000000003</v>
      </c>
      <c r="U27" s="23">
        <v>45583</v>
      </c>
      <c r="V27" s="15">
        <v>56.637099999999997</v>
      </c>
      <c r="W27" s="23">
        <v>45583</v>
      </c>
      <c r="X27" s="15">
        <v>521.75419999999997</v>
      </c>
      <c r="Y27" s="23">
        <v>45583</v>
      </c>
      <c r="Z27" s="15">
        <v>3407.1695</v>
      </c>
      <c r="AA27" s="23">
        <v>45583</v>
      </c>
      <c r="AB27" s="15">
        <v>1861.2430999999999</v>
      </c>
      <c r="AC27" s="23">
        <v>45583</v>
      </c>
      <c r="AD27" s="15">
        <v>343.5899</v>
      </c>
      <c r="AE27" s="23">
        <v>45583</v>
      </c>
      <c r="AF27" s="15">
        <v>1050.7472</v>
      </c>
      <c r="AG27" s="23">
        <v>45583</v>
      </c>
      <c r="AH27" s="15">
        <v>1319.5829000000001</v>
      </c>
    </row>
    <row r="28" spans="1:34">
      <c r="A28" s="24">
        <v>45590</v>
      </c>
      <c r="B28" s="15">
        <v>85.531999999999996</v>
      </c>
      <c r="C28" s="23">
        <v>45590</v>
      </c>
      <c r="D28" s="15">
        <v>646.35389999999995</v>
      </c>
      <c r="E28" s="23">
        <v>45585</v>
      </c>
      <c r="F28" s="15">
        <v>252.84610000000001</v>
      </c>
      <c r="G28" s="23">
        <v>45590</v>
      </c>
      <c r="H28" s="15">
        <v>414.4384</v>
      </c>
      <c r="I28" s="23">
        <v>45590</v>
      </c>
      <c r="J28" s="15">
        <v>2089.7100999999998</v>
      </c>
      <c r="K28" s="23">
        <v>45590</v>
      </c>
      <c r="L28" s="15">
        <v>1163.2585999999999</v>
      </c>
      <c r="M28" s="23">
        <v>45590</v>
      </c>
      <c r="N28" s="15">
        <v>235.99959999999999</v>
      </c>
      <c r="O28" s="23">
        <v>45590</v>
      </c>
      <c r="P28" s="15">
        <v>56.751100000000001</v>
      </c>
      <c r="Q28" s="23">
        <v>45590</v>
      </c>
      <c r="R28" s="15">
        <v>650.41060000000004</v>
      </c>
      <c r="S28" s="23">
        <v>45590</v>
      </c>
      <c r="T28" s="15">
        <v>663.38430000000005</v>
      </c>
      <c r="U28" s="23">
        <v>45590</v>
      </c>
      <c r="V28" s="15">
        <v>56.625500000000002</v>
      </c>
      <c r="W28" s="23">
        <v>45590</v>
      </c>
      <c r="X28" s="15">
        <v>518.51610000000005</v>
      </c>
      <c r="Y28" s="23">
        <v>45590</v>
      </c>
      <c r="Z28" s="15">
        <v>3410.5536999999999</v>
      </c>
      <c r="AA28" s="23">
        <v>45590</v>
      </c>
      <c r="AB28" s="15">
        <v>1859.3095000000001</v>
      </c>
      <c r="AC28" s="23">
        <v>45590</v>
      </c>
      <c r="AD28" s="15">
        <v>342.66030000000001</v>
      </c>
      <c r="AE28" s="23">
        <v>45590</v>
      </c>
      <c r="AF28" s="15">
        <v>1050.9313999999999</v>
      </c>
      <c r="AG28" s="23">
        <v>45590</v>
      </c>
      <c r="AH28" s="15">
        <v>1316.8069</v>
      </c>
    </row>
    <row r="29" spans="1:34">
      <c r="A29" s="23">
        <v>45597</v>
      </c>
      <c r="B29" s="15">
        <v>85.621600000000001</v>
      </c>
      <c r="C29" s="23">
        <v>45597</v>
      </c>
      <c r="D29" s="15">
        <v>638.53750000000002</v>
      </c>
      <c r="E29" s="23">
        <v>45592</v>
      </c>
      <c r="F29" s="15">
        <v>250.83199999999999</v>
      </c>
      <c r="G29" s="23">
        <v>45597</v>
      </c>
      <c r="H29" s="15">
        <v>411.77780000000001</v>
      </c>
      <c r="I29" s="23">
        <v>45597</v>
      </c>
      <c r="J29" s="15">
        <v>2095.8705</v>
      </c>
      <c r="K29" s="23">
        <v>45597</v>
      </c>
      <c r="L29" s="15">
        <v>1158.8263999999999</v>
      </c>
      <c r="M29" s="23">
        <v>45597</v>
      </c>
      <c r="N29" s="15">
        <v>236.07050000000001</v>
      </c>
      <c r="O29" s="23">
        <v>45597</v>
      </c>
      <c r="P29" s="15">
        <v>55.915399999999998</v>
      </c>
      <c r="Q29" s="23">
        <v>45597</v>
      </c>
      <c r="R29" s="15">
        <v>653.09429999999998</v>
      </c>
      <c r="S29" s="23">
        <v>45597</v>
      </c>
      <c r="T29" s="15">
        <v>664.84820000000002</v>
      </c>
      <c r="U29" s="23">
        <v>45597</v>
      </c>
      <c r="V29" s="15">
        <v>56.497100000000003</v>
      </c>
      <c r="W29" s="23">
        <v>45597</v>
      </c>
      <c r="X29" s="15">
        <v>515.18259999999998</v>
      </c>
      <c r="Y29" s="23">
        <v>45597</v>
      </c>
      <c r="Z29" s="15">
        <v>3380.3139999999999</v>
      </c>
      <c r="AA29" s="23">
        <v>45597</v>
      </c>
      <c r="AB29" s="15">
        <v>1842.1172999999999</v>
      </c>
      <c r="AC29" s="23">
        <v>45597</v>
      </c>
      <c r="AD29" s="15">
        <v>341.69220000000001</v>
      </c>
      <c r="AE29" s="23">
        <v>45597</v>
      </c>
      <c r="AF29" s="15">
        <v>1054.0726999999999</v>
      </c>
      <c r="AG29" s="23">
        <v>45597</v>
      </c>
      <c r="AH29" s="15">
        <v>1314.7118</v>
      </c>
    </row>
    <row r="30" spans="1:34">
      <c r="A30" s="24">
        <v>45604</v>
      </c>
      <c r="B30" s="15">
        <v>85.675899999999999</v>
      </c>
      <c r="C30" s="23">
        <v>45604</v>
      </c>
      <c r="D30" s="15">
        <v>639.76509999999996</v>
      </c>
      <c r="E30" s="23">
        <v>45599</v>
      </c>
      <c r="F30" s="15">
        <v>248.2199</v>
      </c>
      <c r="G30" s="23">
        <v>45604</v>
      </c>
      <c r="H30" s="15">
        <v>412.2765</v>
      </c>
      <c r="I30" s="23">
        <v>45604</v>
      </c>
      <c r="J30" s="15">
        <v>2100.0028000000002</v>
      </c>
      <c r="K30" s="23">
        <v>45604</v>
      </c>
      <c r="L30" s="15">
        <v>1159.1947</v>
      </c>
      <c r="M30" s="23">
        <v>45604</v>
      </c>
      <c r="N30" s="15">
        <v>236.29079999999999</v>
      </c>
      <c r="O30" s="23">
        <v>45604</v>
      </c>
      <c r="P30" s="15">
        <v>53.811999999999998</v>
      </c>
      <c r="Q30" s="23">
        <v>45604</v>
      </c>
      <c r="R30" s="15">
        <v>654.92819999999995</v>
      </c>
      <c r="S30" s="23">
        <v>45604</v>
      </c>
      <c r="T30" s="15">
        <v>664.5616</v>
      </c>
      <c r="U30" s="23">
        <v>45604</v>
      </c>
      <c r="V30" s="15">
        <v>56.719000000000001</v>
      </c>
      <c r="W30" s="23">
        <v>45604</v>
      </c>
      <c r="X30" s="15">
        <v>512.96310000000005</v>
      </c>
      <c r="Y30" s="23">
        <v>45604</v>
      </c>
      <c r="Z30" s="15">
        <v>3393.2390999999998</v>
      </c>
      <c r="AA30" s="23">
        <v>45604</v>
      </c>
      <c r="AB30" s="15">
        <v>1833.3052</v>
      </c>
      <c r="AC30" s="23">
        <v>45604</v>
      </c>
      <c r="AD30" s="15">
        <v>340.9076</v>
      </c>
      <c r="AE30" s="23">
        <v>45604</v>
      </c>
      <c r="AF30" s="15">
        <v>1055.9464</v>
      </c>
      <c r="AG30" s="23">
        <v>45604</v>
      </c>
      <c r="AH30" s="15">
        <v>1310.0209</v>
      </c>
    </row>
    <row r="31" spans="1:34">
      <c r="A31" s="23">
        <v>45611</v>
      </c>
      <c r="B31" s="15">
        <v>86.035899999999998</v>
      </c>
      <c r="C31" s="23">
        <v>45611</v>
      </c>
      <c r="D31" s="15">
        <v>639.56939999999997</v>
      </c>
      <c r="E31" s="23">
        <v>45606</v>
      </c>
      <c r="F31" s="15">
        <v>245.40969999999999</v>
      </c>
      <c r="G31" s="23">
        <v>45611</v>
      </c>
      <c r="H31" s="15">
        <v>414.58620000000002</v>
      </c>
      <c r="I31" s="23">
        <v>45611</v>
      </c>
      <c r="J31" s="15">
        <v>2082.7615000000001</v>
      </c>
      <c r="K31" s="23">
        <v>45611</v>
      </c>
      <c r="L31" s="15">
        <v>1159.2552000000001</v>
      </c>
      <c r="M31" s="23">
        <v>45611</v>
      </c>
      <c r="N31" s="15">
        <v>236.9358</v>
      </c>
      <c r="O31" s="23">
        <v>45611</v>
      </c>
      <c r="P31" s="15">
        <v>53.1111</v>
      </c>
      <c r="Q31" s="23">
        <v>45611</v>
      </c>
      <c r="R31" s="15">
        <v>657.61260000000004</v>
      </c>
      <c r="S31" s="23">
        <v>45611</v>
      </c>
      <c r="T31" s="15">
        <v>670.48569999999995</v>
      </c>
      <c r="U31" s="23">
        <v>45611</v>
      </c>
      <c r="V31" s="15">
        <v>57.085500000000003</v>
      </c>
      <c r="W31" s="23">
        <v>45611</v>
      </c>
      <c r="X31" s="15">
        <v>512.8184</v>
      </c>
      <c r="Y31" s="23">
        <v>45611</v>
      </c>
      <c r="Z31" s="15">
        <v>3398.9508999999998</v>
      </c>
      <c r="AA31" s="23">
        <v>45611</v>
      </c>
      <c r="AB31" s="15">
        <v>2042.7565</v>
      </c>
      <c r="AC31" s="23">
        <v>45611</v>
      </c>
      <c r="AD31" s="15">
        <v>340.87139999999999</v>
      </c>
      <c r="AE31" s="23">
        <v>45611</v>
      </c>
      <c r="AF31" s="15">
        <v>1054.9595999999999</v>
      </c>
      <c r="AG31" s="23">
        <v>45611</v>
      </c>
      <c r="AH31" s="15">
        <v>1307.9005</v>
      </c>
    </row>
    <row r="32" spans="1:34">
      <c r="A32" s="24">
        <v>45618</v>
      </c>
      <c r="B32" s="15">
        <v>86.111400000000003</v>
      </c>
      <c r="C32" s="23">
        <v>45618</v>
      </c>
      <c r="D32" s="15">
        <v>637.22889999999995</v>
      </c>
      <c r="E32" s="23">
        <v>45613</v>
      </c>
      <c r="F32" s="15">
        <v>245.61940000000001</v>
      </c>
      <c r="G32" s="23">
        <v>45618</v>
      </c>
      <c r="H32" s="15">
        <v>413.90600000000001</v>
      </c>
      <c r="I32" s="23">
        <v>45618</v>
      </c>
      <c r="J32" s="15">
        <v>2082.3117000000002</v>
      </c>
      <c r="K32" s="23">
        <v>45618</v>
      </c>
      <c r="L32" s="15">
        <v>1159.0630000000001</v>
      </c>
      <c r="M32" s="23">
        <v>45618</v>
      </c>
      <c r="N32" s="15">
        <v>237.13570000000001</v>
      </c>
      <c r="O32" s="23">
        <v>45618</v>
      </c>
      <c r="P32" s="15">
        <v>53.208199999999998</v>
      </c>
      <c r="Q32" s="23">
        <v>45618</v>
      </c>
      <c r="R32" s="15">
        <v>657.33309999999994</v>
      </c>
      <c r="S32" s="23">
        <v>45618</v>
      </c>
      <c r="T32" s="15">
        <v>674.74670000000003</v>
      </c>
      <c r="U32" s="23">
        <v>45618</v>
      </c>
      <c r="V32" s="15">
        <v>57.214700000000001</v>
      </c>
      <c r="W32" s="23">
        <v>45618</v>
      </c>
      <c r="X32" s="15">
        <v>513.12779999999998</v>
      </c>
      <c r="Y32" s="23">
        <v>45618</v>
      </c>
      <c r="Z32" s="15">
        <v>3405.431</v>
      </c>
      <c r="AA32" s="23">
        <v>45618</v>
      </c>
      <c r="AB32" s="15">
        <v>2051.1882999999998</v>
      </c>
      <c r="AC32" s="23">
        <v>45618</v>
      </c>
      <c r="AD32" s="15">
        <v>340.8485</v>
      </c>
      <c r="AE32" s="23">
        <v>45618</v>
      </c>
      <c r="AF32" s="15">
        <v>1055.17</v>
      </c>
      <c r="AG32" s="23">
        <v>45618</v>
      </c>
      <c r="AH32" s="15">
        <v>1304.2004999999999</v>
      </c>
    </row>
    <row r="33" spans="1:34">
      <c r="A33" s="23">
        <v>45625</v>
      </c>
      <c r="B33" s="15">
        <v>86.218900000000005</v>
      </c>
      <c r="C33" s="23">
        <v>45625</v>
      </c>
      <c r="D33" s="15">
        <v>636.63699999999994</v>
      </c>
      <c r="E33" s="23">
        <v>45620</v>
      </c>
      <c r="F33" s="15">
        <v>243.87289999999999</v>
      </c>
      <c r="G33" s="23">
        <v>45625</v>
      </c>
      <c r="H33" s="15">
        <v>414.0378</v>
      </c>
      <c r="I33" s="23">
        <v>45625</v>
      </c>
      <c r="J33" s="15">
        <v>2087.6583000000001</v>
      </c>
      <c r="K33" s="23">
        <v>45625</v>
      </c>
      <c r="L33" s="15">
        <v>1160.4007999999999</v>
      </c>
      <c r="M33" s="23">
        <v>45625</v>
      </c>
      <c r="N33" s="15">
        <v>236.91300000000001</v>
      </c>
      <c r="O33" s="23">
        <v>45625</v>
      </c>
      <c r="P33" s="15">
        <v>52.649799999999999</v>
      </c>
      <c r="Q33" s="23">
        <v>45625</v>
      </c>
      <c r="R33" s="15">
        <v>652.58130000000006</v>
      </c>
      <c r="S33" s="23">
        <v>45625</v>
      </c>
      <c r="T33" s="15">
        <v>671.96559999999999</v>
      </c>
      <c r="U33" s="23">
        <v>45625</v>
      </c>
      <c r="V33" s="15">
        <v>56.977200000000003</v>
      </c>
      <c r="W33" s="23">
        <v>45625</v>
      </c>
      <c r="X33" s="15">
        <v>510.64690000000002</v>
      </c>
      <c r="Y33" s="23">
        <v>45625</v>
      </c>
      <c r="Z33" s="15">
        <v>3404.3852000000002</v>
      </c>
      <c r="AA33" s="23">
        <v>45625</v>
      </c>
      <c r="AB33" s="15">
        <v>2051.712</v>
      </c>
      <c r="AC33" s="23">
        <v>45625</v>
      </c>
      <c r="AD33" s="15">
        <v>340.25110000000001</v>
      </c>
      <c r="AE33" s="23">
        <v>45625</v>
      </c>
      <c r="AF33" s="15">
        <v>1052.7366999999999</v>
      </c>
      <c r="AG33" s="23">
        <v>45625</v>
      </c>
      <c r="AH33" s="15">
        <v>1308.5381</v>
      </c>
    </row>
    <row r="34" spans="1:34">
      <c r="A34" s="24">
        <v>45632</v>
      </c>
      <c r="B34" s="15">
        <v>86.457800000000006</v>
      </c>
      <c r="C34" s="23">
        <v>45632</v>
      </c>
      <c r="D34" s="15">
        <v>635.70899999999995</v>
      </c>
      <c r="E34" s="23">
        <v>45627</v>
      </c>
      <c r="F34" s="15">
        <v>244.81989999999999</v>
      </c>
      <c r="G34" s="23">
        <v>45632</v>
      </c>
      <c r="H34" s="15">
        <v>415.37029999999999</v>
      </c>
      <c r="I34" s="23">
        <v>45632</v>
      </c>
      <c r="J34" s="15">
        <v>2087.7474999999999</v>
      </c>
      <c r="K34" s="23">
        <v>45632</v>
      </c>
      <c r="L34" s="15">
        <v>1160.5868</v>
      </c>
      <c r="M34" s="23">
        <v>45632</v>
      </c>
      <c r="N34" s="15">
        <v>236.7595</v>
      </c>
      <c r="O34" s="23">
        <v>45632</v>
      </c>
      <c r="P34" s="15">
        <v>52.915199999999999</v>
      </c>
      <c r="Q34" s="23">
        <v>45632</v>
      </c>
      <c r="R34" s="15">
        <v>651.12469999999996</v>
      </c>
      <c r="S34" s="23">
        <v>45632</v>
      </c>
      <c r="T34" s="15">
        <v>670.78009999999995</v>
      </c>
      <c r="U34" s="23">
        <v>45632</v>
      </c>
      <c r="V34" s="15">
        <v>59.1661</v>
      </c>
      <c r="W34" s="23">
        <v>45632</v>
      </c>
      <c r="X34" s="15">
        <v>510.21769999999998</v>
      </c>
      <c r="Y34" s="23">
        <v>45632</v>
      </c>
      <c r="Z34" s="15">
        <v>3404.2858000000001</v>
      </c>
      <c r="AA34" s="23">
        <v>45632</v>
      </c>
      <c r="AB34" s="15">
        <v>2047.8471999999999</v>
      </c>
      <c r="AC34" s="23">
        <v>45632</v>
      </c>
      <c r="AD34" s="15">
        <v>339.56119999999999</v>
      </c>
      <c r="AE34" s="23">
        <v>45632</v>
      </c>
      <c r="AF34" s="15">
        <v>1051.2067</v>
      </c>
      <c r="AG34" s="23">
        <v>45632</v>
      </c>
      <c r="AH34" s="15">
        <v>1314.9656</v>
      </c>
    </row>
    <row r="35" spans="1:34">
      <c r="A35" s="23">
        <v>45639</v>
      </c>
      <c r="B35" s="15">
        <v>86.589799999999997</v>
      </c>
      <c r="C35" s="23">
        <v>45639</v>
      </c>
      <c r="D35" s="15">
        <v>632.41369999999995</v>
      </c>
      <c r="E35" s="23">
        <v>45634</v>
      </c>
      <c r="F35" s="15">
        <v>244.61099999999999</v>
      </c>
      <c r="G35" s="23">
        <v>45639</v>
      </c>
      <c r="H35" s="15">
        <v>416.07130000000001</v>
      </c>
      <c r="I35" s="23">
        <v>45639</v>
      </c>
      <c r="J35" s="15">
        <v>2086.7276000000002</v>
      </c>
      <c r="K35" s="23">
        <v>45639</v>
      </c>
      <c r="L35" s="15">
        <v>1160.5598</v>
      </c>
      <c r="M35" s="23">
        <v>45639</v>
      </c>
      <c r="N35" s="15">
        <v>236.30539999999999</v>
      </c>
      <c r="O35" s="23">
        <v>45639</v>
      </c>
      <c r="P35" s="15">
        <v>52.711300000000001</v>
      </c>
      <c r="Q35" s="23">
        <v>45639</v>
      </c>
      <c r="R35" s="15">
        <v>654.70140000000004</v>
      </c>
      <c r="S35" s="23">
        <v>45639</v>
      </c>
      <c r="T35" s="15">
        <v>671.60469999999998</v>
      </c>
      <c r="U35" s="23">
        <v>45639</v>
      </c>
      <c r="V35" s="15">
        <v>58.8127</v>
      </c>
      <c r="W35" s="23">
        <v>45639</v>
      </c>
      <c r="X35" s="15">
        <v>510.61880000000002</v>
      </c>
      <c r="Y35" s="23">
        <v>45639</v>
      </c>
      <c r="Z35" s="15">
        <v>3406.7215999999999</v>
      </c>
      <c r="AA35" s="23">
        <v>45639</v>
      </c>
      <c r="AB35" s="15">
        <v>2030.9267</v>
      </c>
      <c r="AC35" s="23">
        <v>45639</v>
      </c>
      <c r="AD35" s="15">
        <v>339.34769999999997</v>
      </c>
      <c r="AE35" s="23">
        <v>45639</v>
      </c>
      <c r="AF35" s="15">
        <v>1054.2308</v>
      </c>
      <c r="AG35" s="23">
        <v>45639</v>
      </c>
      <c r="AH35" s="15">
        <v>1315.8275000000001</v>
      </c>
    </row>
    <row r="36" spans="1:34">
      <c r="A36" s="24">
        <v>45646</v>
      </c>
      <c r="B36" s="15">
        <v>86.789500000000004</v>
      </c>
      <c r="C36" s="23">
        <v>45646</v>
      </c>
      <c r="D36" s="15">
        <v>632.79409999999996</v>
      </c>
      <c r="E36" s="23">
        <v>45641</v>
      </c>
      <c r="F36" s="15">
        <v>244.3047</v>
      </c>
      <c r="G36" s="23">
        <v>45646</v>
      </c>
      <c r="H36" s="15">
        <v>417.30669999999998</v>
      </c>
      <c r="I36" s="23">
        <v>45646</v>
      </c>
      <c r="J36" s="15">
        <v>2082.3694999999998</v>
      </c>
      <c r="K36" s="23">
        <v>45646</v>
      </c>
      <c r="L36" s="15">
        <v>1160.5275999999999</v>
      </c>
      <c r="M36" s="23">
        <v>45646</v>
      </c>
      <c r="N36" s="15">
        <v>236.4579</v>
      </c>
      <c r="O36" s="23">
        <v>45646</v>
      </c>
      <c r="P36" s="15">
        <v>52.426299999999998</v>
      </c>
      <c r="Q36" s="23">
        <v>45646</v>
      </c>
      <c r="R36" s="15">
        <v>655.79780000000005</v>
      </c>
      <c r="S36" s="23">
        <v>45646</v>
      </c>
      <c r="T36" s="15">
        <v>674.17269999999996</v>
      </c>
      <c r="U36" s="23">
        <v>45646</v>
      </c>
      <c r="V36" s="15">
        <v>58.553899999999999</v>
      </c>
      <c r="W36" s="23">
        <v>45646</v>
      </c>
      <c r="X36" s="15">
        <v>510.8374</v>
      </c>
      <c r="Y36" s="23">
        <v>45646</v>
      </c>
      <c r="Z36" s="15">
        <v>3397.52</v>
      </c>
      <c r="AA36" s="23">
        <v>45646</v>
      </c>
      <c r="AB36" s="15">
        <v>2031.7239999999999</v>
      </c>
      <c r="AC36" s="23">
        <v>45646</v>
      </c>
      <c r="AD36" s="15">
        <v>339.49979999999999</v>
      </c>
      <c r="AE36" s="23">
        <v>45646</v>
      </c>
      <c r="AF36" s="15">
        <v>1057.1032</v>
      </c>
      <c r="AG36" s="23">
        <v>45646</v>
      </c>
      <c r="AH36" s="15">
        <v>1321.9322999999999</v>
      </c>
    </row>
    <row r="37" spans="1:34">
      <c r="A37" s="23">
        <v>45653</v>
      </c>
      <c r="B37" s="15">
        <v>86.900300000000001</v>
      </c>
      <c r="C37" s="23">
        <v>45653</v>
      </c>
      <c r="D37" s="15">
        <v>635.15350000000001</v>
      </c>
      <c r="E37" s="23">
        <v>45648</v>
      </c>
      <c r="F37" s="15">
        <v>244.1335</v>
      </c>
      <c r="G37" s="23">
        <v>45653</v>
      </c>
      <c r="H37" s="15">
        <v>416.97770000000003</v>
      </c>
      <c r="I37" s="23">
        <v>45653</v>
      </c>
      <c r="J37" s="15">
        <v>2078.7442999999998</v>
      </c>
      <c r="K37" s="23">
        <v>45653</v>
      </c>
      <c r="L37" s="15">
        <v>1151.0949000000001</v>
      </c>
      <c r="M37" s="23">
        <v>45653</v>
      </c>
      <c r="N37" s="15">
        <v>236.84289999999999</v>
      </c>
      <c r="O37" s="23">
        <v>45653</v>
      </c>
      <c r="P37" s="15">
        <v>51.767699999999998</v>
      </c>
      <c r="Q37" s="23">
        <v>45653</v>
      </c>
      <c r="R37" s="15">
        <v>658.66240000000005</v>
      </c>
      <c r="S37" s="23">
        <v>45653</v>
      </c>
      <c r="T37" s="15">
        <v>678.08339999999998</v>
      </c>
      <c r="U37" s="23">
        <v>45653</v>
      </c>
      <c r="V37" s="15">
        <v>58.5443</v>
      </c>
      <c r="W37" s="23">
        <v>45653</v>
      </c>
      <c r="X37" s="15">
        <v>508.11989999999997</v>
      </c>
      <c r="Y37" s="23">
        <v>45653</v>
      </c>
      <c r="Z37" s="15">
        <v>3447.7417999999998</v>
      </c>
      <c r="AA37" s="23">
        <v>45653</v>
      </c>
      <c r="AB37" s="15">
        <v>2032.3951999999999</v>
      </c>
      <c r="AC37" s="23">
        <v>45653</v>
      </c>
      <c r="AD37" s="15">
        <v>338.61540000000002</v>
      </c>
      <c r="AE37" s="23">
        <v>45653</v>
      </c>
      <c r="AF37" s="15">
        <v>1061.9204999999999</v>
      </c>
      <c r="AG37" s="23">
        <v>45653</v>
      </c>
      <c r="AH37" s="15">
        <v>1346.6737000000001</v>
      </c>
    </row>
    <row r="38" spans="1:34">
      <c r="A38" s="24">
        <v>45660</v>
      </c>
      <c r="B38" s="15">
        <v>86.896900000000002</v>
      </c>
      <c r="C38" s="23">
        <v>45660</v>
      </c>
      <c r="D38" s="15">
        <v>635.3347</v>
      </c>
      <c r="E38" s="23">
        <v>45655</v>
      </c>
      <c r="F38" s="15">
        <v>243.7114</v>
      </c>
      <c r="G38" s="23">
        <v>45660</v>
      </c>
      <c r="H38" s="15">
        <v>418.32769999999999</v>
      </c>
      <c r="I38" s="23">
        <v>45660</v>
      </c>
      <c r="J38" s="15">
        <v>2077.8571999999999</v>
      </c>
      <c r="K38" s="23">
        <v>45660</v>
      </c>
      <c r="L38" s="15">
        <v>1152.4106999999999</v>
      </c>
      <c r="M38" s="23">
        <v>45660</v>
      </c>
      <c r="N38" s="15">
        <v>236.78440000000001</v>
      </c>
      <c r="O38" s="23">
        <v>45660</v>
      </c>
      <c r="P38" s="15">
        <v>51.787700000000001</v>
      </c>
      <c r="Q38" s="23">
        <v>45660</v>
      </c>
      <c r="R38" s="15">
        <v>662.60019999999997</v>
      </c>
      <c r="S38" s="23">
        <v>45660</v>
      </c>
      <c r="T38" s="15">
        <v>678.09289999999999</v>
      </c>
      <c r="U38" s="23">
        <v>45660</v>
      </c>
      <c r="V38" s="15">
        <v>58.536000000000001</v>
      </c>
      <c r="W38" s="23">
        <v>45660</v>
      </c>
      <c r="X38" s="15">
        <v>508.84410000000003</v>
      </c>
      <c r="Y38" s="23">
        <v>45660</v>
      </c>
      <c r="Z38" s="15">
        <v>3449.4132</v>
      </c>
      <c r="AA38" s="23">
        <v>45660</v>
      </c>
      <c r="AB38" s="15">
        <v>2031.9376</v>
      </c>
      <c r="AC38" s="23">
        <v>45660</v>
      </c>
      <c r="AD38" s="15">
        <v>339.0496</v>
      </c>
      <c r="AE38" s="23">
        <v>45660</v>
      </c>
      <c r="AF38" s="15">
        <v>1061.7429999999999</v>
      </c>
      <c r="AG38" s="23">
        <v>45660</v>
      </c>
      <c r="AH38" s="15">
        <v>1348.7066</v>
      </c>
    </row>
    <row r="39" spans="1:34">
      <c r="A39" s="23">
        <v>45667</v>
      </c>
      <c r="B39" s="15">
        <v>86.8874</v>
      </c>
      <c r="C39" s="23">
        <v>45667</v>
      </c>
      <c r="D39" s="15">
        <v>636.3098</v>
      </c>
      <c r="E39" s="23">
        <v>45662</v>
      </c>
      <c r="F39" s="15">
        <v>243.2235</v>
      </c>
      <c r="G39" s="23">
        <v>45667</v>
      </c>
      <c r="H39" s="15">
        <v>419.63069999999999</v>
      </c>
      <c r="I39" s="23">
        <v>45667</v>
      </c>
      <c r="J39" s="15">
        <v>2075.4594000000002</v>
      </c>
      <c r="K39" s="23">
        <v>45667</v>
      </c>
      <c r="L39" s="15">
        <v>1153.3967</v>
      </c>
      <c r="M39" s="23">
        <v>45667</v>
      </c>
      <c r="N39" s="15">
        <v>236.77850000000001</v>
      </c>
      <c r="O39" s="23">
        <v>45667</v>
      </c>
      <c r="P39" s="15">
        <v>51.3553</v>
      </c>
      <c r="Q39" s="23">
        <v>45667</v>
      </c>
      <c r="R39" s="15">
        <v>662.8836</v>
      </c>
      <c r="S39" s="23">
        <v>45667</v>
      </c>
      <c r="T39" s="15">
        <v>675.55650000000003</v>
      </c>
      <c r="U39" s="23">
        <v>45667</v>
      </c>
      <c r="V39" s="15">
        <v>57.368299999999998</v>
      </c>
      <c r="W39" s="23">
        <v>45667</v>
      </c>
      <c r="X39" s="15">
        <v>508.5729</v>
      </c>
      <c r="Y39" s="23">
        <v>45667</v>
      </c>
      <c r="Z39" s="15">
        <v>3450.7514999999999</v>
      </c>
      <c r="AA39" s="23">
        <v>45667</v>
      </c>
      <c r="AB39" s="15">
        <v>2011.5405000000001</v>
      </c>
      <c r="AC39" s="23">
        <v>45667</v>
      </c>
      <c r="AD39" s="15">
        <v>338.31760000000003</v>
      </c>
      <c r="AE39" s="23">
        <v>45667</v>
      </c>
      <c r="AF39" s="15">
        <v>1060.6789000000001</v>
      </c>
      <c r="AG39" s="23">
        <v>45667</v>
      </c>
      <c r="AH39" s="15">
        <v>1341.7229</v>
      </c>
    </row>
    <row r="40" spans="1:34">
      <c r="A40" s="24">
        <v>45674</v>
      </c>
      <c r="B40" s="15">
        <v>86.838300000000004</v>
      </c>
      <c r="C40" s="23">
        <v>45674</v>
      </c>
      <c r="D40" s="15">
        <v>638.92399999999998</v>
      </c>
      <c r="E40" s="23">
        <v>45669</v>
      </c>
      <c r="F40" s="15">
        <v>240.5386</v>
      </c>
      <c r="G40" s="23">
        <v>45674</v>
      </c>
      <c r="H40" s="15">
        <v>420.03120000000001</v>
      </c>
      <c r="I40" s="23">
        <v>45674</v>
      </c>
      <c r="J40" s="15">
        <v>2078.0387999999998</v>
      </c>
      <c r="K40" s="23">
        <v>45674</v>
      </c>
      <c r="L40" s="15">
        <v>1154.8273999999999</v>
      </c>
      <c r="M40" s="23">
        <v>45674</v>
      </c>
      <c r="N40" s="15">
        <v>237.95920000000001</v>
      </c>
      <c r="O40" s="23">
        <v>45674</v>
      </c>
      <c r="P40" s="15">
        <v>51.285899999999998</v>
      </c>
      <c r="Q40" s="23">
        <v>45674</v>
      </c>
      <c r="R40" s="15">
        <v>663.51729999999998</v>
      </c>
      <c r="S40" s="23">
        <v>45674</v>
      </c>
      <c r="T40" s="15">
        <v>675.18589999999995</v>
      </c>
      <c r="U40" s="23">
        <v>45674</v>
      </c>
      <c r="V40" s="15">
        <v>56.874200000000002</v>
      </c>
      <c r="W40" s="23">
        <v>45674</v>
      </c>
      <c r="X40" s="15">
        <v>507.3777</v>
      </c>
      <c r="Y40" s="23">
        <v>45674</v>
      </c>
      <c r="Z40" s="15">
        <v>3430.9232000000002</v>
      </c>
      <c r="AA40" s="23">
        <v>45674</v>
      </c>
      <c r="AB40" s="15">
        <v>2012.0746999999999</v>
      </c>
      <c r="AC40" s="23">
        <v>45674</v>
      </c>
      <c r="AD40" s="15">
        <v>337.74979999999999</v>
      </c>
      <c r="AE40" s="23">
        <v>45674</v>
      </c>
      <c r="AF40" s="15">
        <v>1066.6980000000001</v>
      </c>
      <c r="AG40" s="23">
        <v>45674</v>
      </c>
      <c r="AH40" s="15">
        <v>1342.0976000000001</v>
      </c>
    </row>
    <row r="41" spans="1:34">
      <c r="A41" s="23">
        <v>45681</v>
      </c>
      <c r="B41" s="15">
        <v>87.214799999999997</v>
      </c>
      <c r="C41" s="23">
        <v>45681</v>
      </c>
      <c r="D41" s="15">
        <v>636.97699999999998</v>
      </c>
      <c r="E41" s="23">
        <v>45676</v>
      </c>
      <c r="F41" s="15">
        <v>238.7868</v>
      </c>
      <c r="G41" s="23">
        <v>45681</v>
      </c>
      <c r="H41" s="15">
        <v>419.5136</v>
      </c>
      <c r="I41" s="23">
        <v>45681</v>
      </c>
      <c r="J41" s="15">
        <v>2076.8157999999999</v>
      </c>
      <c r="K41" s="23">
        <v>45681</v>
      </c>
      <c r="L41" s="15">
        <v>1153.6397999999999</v>
      </c>
      <c r="M41" s="23">
        <v>45681</v>
      </c>
      <c r="N41" s="15">
        <v>237.864</v>
      </c>
      <c r="O41" s="23">
        <v>45681</v>
      </c>
      <c r="P41" s="15">
        <v>51.014000000000003</v>
      </c>
      <c r="Q41" s="23">
        <v>45681</v>
      </c>
      <c r="R41" s="15">
        <v>661.95669999999996</v>
      </c>
      <c r="S41" s="23">
        <v>45681</v>
      </c>
      <c r="T41" s="15">
        <v>673.39570000000003</v>
      </c>
      <c r="U41" s="23">
        <v>45681</v>
      </c>
      <c r="V41" s="15">
        <v>56.728200000000001</v>
      </c>
      <c r="W41" s="23">
        <v>45681</v>
      </c>
      <c r="X41" s="15">
        <v>505.00360000000001</v>
      </c>
      <c r="Y41" s="23">
        <v>45681</v>
      </c>
      <c r="Z41" s="15">
        <v>3409.6635000000001</v>
      </c>
      <c r="AA41" s="23">
        <v>45681</v>
      </c>
      <c r="AB41" s="15">
        <v>2034.3407</v>
      </c>
      <c r="AC41" s="23">
        <v>45681</v>
      </c>
      <c r="AD41" s="15">
        <v>337.21859999999998</v>
      </c>
      <c r="AE41" s="23">
        <v>45681</v>
      </c>
      <c r="AF41" s="15">
        <v>1075.5882999999999</v>
      </c>
      <c r="AG41" s="23">
        <v>45681</v>
      </c>
      <c r="AH41" s="15">
        <v>1341.4918</v>
      </c>
    </row>
    <row r="42" spans="1:34">
      <c r="A42" s="24">
        <v>45688</v>
      </c>
      <c r="B42" s="15">
        <v>86.636700000000005</v>
      </c>
      <c r="C42" s="23">
        <v>45688</v>
      </c>
      <c r="D42" s="15">
        <v>634.14049999999997</v>
      </c>
      <c r="E42" s="23">
        <v>45683</v>
      </c>
      <c r="F42" s="15">
        <v>235.3038</v>
      </c>
      <c r="G42" s="23">
        <v>45688</v>
      </c>
      <c r="H42" s="15">
        <v>419.34530000000001</v>
      </c>
      <c r="I42" s="23">
        <v>45688</v>
      </c>
      <c r="J42" s="15">
        <v>2074.6370000000002</v>
      </c>
      <c r="K42" s="23">
        <v>45688</v>
      </c>
      <c r="L42" s="15">
        <v>1153.4085</v>
      </c>
      <c r="M42" s="23">
        <v>45688</v>
      </c>
      <c r="N42" s="15">
        <v>235.285</v>
      </c>
      <c r="O42" s="23">
        <v>45688</v>
      </c>
      <c r="P42" s="15">
        <v>50.790399999999998</v>
      </c>
      <c r="Q42" s="23">
        <v>45688</v>
      </c>
      <c r="R42" s="15">
        <v>666.96079999999995</v>
      </c>
      <c r="S42" s="23">
        <v>45688</v>
      </c>
      <c r="T42" s="15">
        <v>669.69770000000005</v>
      </c>
      <c r="U42" s="23">
        <v>45688</v>
      </c>
      <c r="V42" s="15">
        <v>55.9557</v>
      </c>
      <c r="W42" s="23">
        <v>45688</v>
      </c>
      <c r="X42" s="15">
        <v>496.29</v>
      </c>
      <c r="Y42" s="23">
        <v>45688</v>
      </c>
      <c r="Z42" s="15">
        <v>3401.8245000000002</v>
      </c>
      <c r="AA42" s="23">
        <v>45688</v>
      </c>
      <c r="AB42" s="15">
        <v>2043.5165999999999</v>
      </c>
      <c r="AC42" s="23">
        <v>45688</v>
      </c>
      <c r="AD42" s="15">
        <v>336.0326</v>
      </c>
      <c r="AE42" s="23">
        <v>45688</v>
      </c>
      <c r="AF42" s="15">
        <v>1084.5262</v>
      </c>
      <c r="AG42" s="23">
        <v>45688</v>
      </c>
      <c r="AH42" s="15">
        <v>1355.9055000000001</v>
      </c>
    </row>
    <row r="43" spans="1:34">
      <c r="A43" s="23">
        <v>45695</v>
      </c>
      <c r="B43" s="15">
        <v>86.345299999999995</v>
      </c>
      <c r="C43" s="23">
        <v>45695</v>
      </c>
      <c r="D43" s="15">
        <v>609.40899999999999</v>
      </c>
      <c r="E43" s="23">
        <v>45690</v>
      </c>
      <c r="F43" s="15">
        <v>235.4742</v>
      </c>
      <c r="G43" s="23">
        <v>45695</v>
      </c>
      <c r="H43" s="15">
        <v>419.44529999999997</v>
      </c>
      <c r="I43" s="23">
        <v>45695</v>
      </c>
      <c r="J43" s="15">
        <v>2074.4485</v>
      </c>
      <c r="K43" s="23">
        <v>45695</v>
      </c>
      <c r="L43" s="15">
        <v>1152.741</v>
      </c>
      <c r="M43" s="23">
        <v>45695</v>
      </c>
      <c r="N43" s="15">
        <v>231.48840000000001</v>
      </c>
      <c r="O43" s="23">
        <v>45695</v>
      </c>
      <c r="P43" s="15">
        <v>49.904600000000002</v>
      </c>
      <c r="Q43" s="23">
        <v>45695</v>
      </c>
      <c r="R43" s="15">
        <v>670.70849999999996</v>
      </c>
      <c r="S43" s="23">
        <v>45695</v>
      </c>
      <c r="T43" s="15">
        <v>653.48810000000003</v>
      </c>
      <c r="U43" s="23">
        <v>45695</v>
      </c>
      <c r="V43" s="15">
        <v>55.612299999999998</v>
      </c>
      <c r="W43" s="23">
        <v>45695</v>
      </c>
      <c r="X43" s="15">
        <v>504.10930000000002</v>
      </c>
      <c r="Y43" s="23">
        <v>45695</v>
      </c>
      <c r="Z43" s="15">
        <v>3492.8438000000001</v>
      </c>
      <c r="AA43" s="23">
        <v>45695</v>
      </c>
      <c r="AB43" s="15">
        <v>2058.0342000000001</v>
      </c>
      <c r="AC43" s="23">
        <v>45695</v>
      </c>
      <c r="AD43" s="15">
        <v>340.53539999999998</v>
      </c>
      <c r="AE43" s="23">
        <v>45695</v>
      </c>
      <c r="AF43" s="15">
        <v>1101.0108</v>
      </c>
      <c r="AG43" s="23">
        <v>45695</v>
      </c>
      <c r="AH43" s="15">
        <v>1357.2138</v>
      </c>
    </row>
    <row r="44" spans="1:34">
      <c r="A44" s="24">
        <v>45702</v>
      </c>
      <c r="B44" s="15">
        <v>84.361400000000003</v>
      </c>
      <c r="C44" s="23">
        <v>45702</v>
      </c>
      <c r="D44" s="15">
        <v>611.66010000000006</v>
      </c>
      <c r="E44" s="23">
        <v>45697</v>
      </c>
      <c r="F44" s="15">
        <v>223.28710000000001</v>
      </c>
      <c r="G44" s="23">
        <v>45702</v>
      </c>
      <c r="H44" s="15">
        <v>421.03199999999998</v>
      </c>
      <c r="I44" s="23">
        <v>45702</v>
      </c>
      <c r="J44" s="15">
        <v>2073.4771999999998</v>
      </c>
      <c r="K44" s="23">
        <v>45702</v>
      </c>
      <c r="L44" s="15">
        <v>1152.2718</v>
      </c>
      <c r="M44" s="23">
        <v>45702</v>
      </c>
      <c r="N44" s="15">
        <v>231.37860000000001</v>
      </c>
      <c r="O44" s="23">
        <v>45702</v>
      </c>
      <c r="P44" s="15">
        <v>45.684100000000001</v>
      </c>
      <c r="Q44" s="23">
        <v>45702</v>
      </c>
      <c r="R44" s="15">
        <v>669.94619999999998</v>
      </c>
      <c r="S44" s="23">
        <v>45702</v>
      </c>
      <c r="T44" s="15">
        <v>658.21420000000001</v>
      </c>
      <c r="U44" s="23">
        <v>45702</v>
      </c>
      <c r="V44" s="15">
        <v>55.024000000000001</v>
      </c>
      <c r="W44" s="23">
        <v>45702</v>
      </c>
      <c r="X44" s="15">
        <v>487.08460000000002</v>
      </c>
      <c r="Y44" s="23">
        <v>45702</v>
      </c>
      <c r="Z44" s="15">
        <v>3663.5241000000001</v>
      </c>
      <c r="AA44" s="23">
        <v>45702</v>
      </c>
      <c r="AB44" s="15">
        <v>1995.8869999999999</v>
      </c>
      <c r="AC44" s="23">
        <v>45702</v>
      </c>
      <c r="AD44" s="15">
        <v>338.6705</v>
      </c>
      <c r="AE44" s="23">
        <v>45702</v>
      </c>
      <c r="AF44" s="15">
        <v>1101.0672999999999</v>
      </c>
      <c r="AG44" s="23">
        <v>45702</v>
      </c>
      <c r="AH44" s="15">
        <v>1362.6241</v>
      </c>
    </row>
    <row r="45" spans="1:34">
      <c r="A45" s="23">
        <v>45709</v>
      </c>
      <c r="B45" s="15">
        <v>81.395200000000003</v>
      </c>
      <c r="C45" s="23">
        <v>45709</v>
      </c>
      <c r="D45" s="15">
        <v>610.25210000000004</v>
      </c>
      <c r="E45" s="23">
        <v>45704</v>
      </c>
      <c r="F45" s="15">
        <v>220.8032</v>
      </c>
      <c r="G45" s="23">
        <v>45709</v>
      </c>
      <c r="H45" s="15">
        <v>465.10739999999998</v>
      </c>
      <c r="I45" s="23">
        <v>45709</v>
      </c>
      <c r="J45" s="15">
        <v>2092.4765000000002</v>
      </c>
      <c r="K45" s="23">
        <v>45709</v>
      </c>
      <c r="L45" s="15">
        <v>1151.1632</v>
      </c>
      <c r="M45" s="23">
        <v>45709</v>
      </c>
      <c r="N45" s="15">
        <v>230.40299999999999</v>
      </c>
      <c r="O45" s="23">
        <v>45709</v>
      </c>
      <c r="P45" s="15">
        <v>47.275700000000001</v>
      </c>
      <c r="Q45" s="23">
        <v>45709</v>
      </c>
      <c r="R45" s="15">
        <v>719.46370000000002</v>
      </c>
      <c r="S45" s="23">
        <v>45709</v>
      </c>
      <c r="T45" s="15">
        <v>671.14689999999996</v>
      </c>
      <c r="U45" s="23">
        <v>45709</v>
      </c>
      <c r="V45" s="15">
        <v>57.889200000000002</v>
      </c>
      <c r="W45" s="23">
        <v>45709</v>
      </c>
      <c r="X45" s="15">
        <v>538.93849999999998</v>
      </c>
      <c r="Y45" s="23">
        <v>45709</v>
      </c>
      <c r="Z45" s="15">
        <v>3650.3296999999998</v>
      </c>
      <c r="AA45" s="23">
        <v>45709</v>
      </c>
      <c r="AB45" s="15">
        <v>1994.4356</v>
      </c>
      <c r="AC45" s="23">
        <v>45709</v>
      </c>
      <c r="AD45" s="15">
        <v>338.94940000000003</v>
      </c>
      <c r="AE45" s="23">
        <v>45709</v>
      </c>
      <c r="AF45" s="15">
        <v>1089.2340999999999</v>
      </c>
      <c r="AG45" s="23">
        <v>45709</v>
      </c>
      <c r="AH45" s="15">
        <v>1342.4250999999999</v>
      </c>
    </row>
    <row r="46" spans="1:34">
      <c r="A46" s="24">
        <v>45716</v>
      </c>
      <c r="B46" s="15">
        <v>95.996799999999993</v>
      </c>
      <c r="C46" s="23">
        <v>45716</v>
      </c>
      <c r="D46" s="15">
        <v>618.53060000000005</v>
      </c>
      <c r="E46" s="23">
        <v>45711</v>
      </c>
      <c r="F46" s="15">
        <v>215.5376</v>
      </c>
      <c r="G46" s="23">
        <v>45716</v>
      </c>
      <c r="H46" s="15">
        <v>462.99939999999998</v>
      </c>
      <c r="I46" s="23">
        <v>45716</v>
      </c>
      <c r="J46" s="15">
        <v>2090.0223000000001</v>
      </c>
      <c r="K46" s="23">
        <v>45716</v>
      </c>
      <c r="L46" s="15">
        <v>1150.6458</v>
      </c>
      <c r="M46" s="23">
        <v>45716</v>
      </c>
      <c r="N46" s="15">
        <v>269.93299999999999</v>
      </c>
      <c r="O46" s="23">
        <v>45716</v>
      </c>
      <c r="P46" s="15">
        <v>80.421300000000002</v>
      </c>
      <c r="Q46" s="23">
        <v>45716</v>
      </c>
      <c r="R46" s="15">
        <v>722.04539999999997</v>
      </c>
      <c r="S46" s="23">
        <v>45716</v>
      </c>
      <c r="T46" s="15">
        <v>665.62030000000004</v>
      </c>
      <c r="U46" s="23">
        <v>45716</v>
      </c>
      <c r="V46" s="15">
        <v>57.7181</v>
      </c>
      <c r="W46" s="23">
        <v>45716</v>
      </c>
      <c r="X46" s="15">
        <v>536.84140000000002</v>
      </c>
      <c r="Y46" s="23">
        <v>45716</v>
      </c>
      <c r="Z46" s="15">
        <v>3701.1091999999999</v>
      </c>
      <c r="AA46" s="23">
        <v>45716</v>
      </c>
      <c r="AB46" s="15">
        <v>1984.3335999999999</v>
      </c>
      <c r="AC46" s="23">
        <v>45716</v>
      </c>
      <c r="AD46" s="15">
        <v>357.61950000000002</v>
      </c>
      <c r="AE46" s="23">
        <v>45716</v>
      </c>
      <c r="AF46" s="15">
        <v>1095.7195999999999</v>
      </c>
      <c r="AG46" s="23">
        <v>45716</v>
      </c>
      <c r="AH46" s="15">
        <v>1492.1405</v>
      </c>
    </row>
    <row r="47" spans="1:34">
      <c r="A47" s="23">
        <v>45723</v>
      </c>
      <c r="B47" s="15">
        <v>95.296400000000006</v>
      </c>
      <c r="C47" s="23">
        <v>45723</v>
      </c>
      <c r="D47" s="15">
        <v>797.1277</v>
      </c>
      <c r="E47" s="23">
        <v>45718</v>
      </c>
      <c r="F47" s="15">
        <v>275.95519999999999</v>
      </c>
      <c r="G47" s="23">
        <v>45723</v>
      </c>
      <c r="H47" s="15">
        <v>462.98559999999998</v>
      </c>
      <c r="I47" s="23">
        <v>45723</v>
      </c>
      <c r="J47" s="15">
        <v>2084.1867999999999</v>
      </c>
      <c r="K47" s="23">
        <v>45723</v>
      </c>
      <c r="L47" s="15">
        <v>1150.4862000000001</v>
      </c>
      <c r="M47" s="23">
        <v>45723</v>
      </c>
      <c r="N47" s="15">
        <v>269.57600000000002</v>
      </c>
      <c r="O47" s="23">
        <v>45723</v>
      </c>
      <c r="P47" s="15">
        <v>79.1477</v>
      </c>
      <c r="Q47" s="23">
        <v>45723</v>
      </c>
      <c r="R47" s="15">
        <v>716.49940000000004</v>
      </c>
      <c r="S47" s="23">
        <v>45723</v>
      </c>
      <c r="T47" s="15">
        <v>691.99289999999996</v>
      </c>
      <c r="U47" s="23">
        <v>45723</v>
      </c>
      <c r="V47" s="15">
        <v>57.084200000000003</v>
      </c>
      <c r="W47" s="23">
        <v>45723</v>
      </c>
      <c r="X47" s="15">
        <v>533.00639999999999</v>
      </c>
      <c r="Y47" s="23">
        <v>45723</v>
      </c>
      <c r="Z47" s="15">
        <v>3430.1994</v>
      </c>
      <c r="AA47" s="23">
        <v>45723</v>
      </c>
      <c r="AB47" s="15">
        <v>1980.4427000000001</v>
      </c>
      <c r="AC47" s="23">
        <v>45723</v>
      </c>
      <c r="AD47" s="15">
        <v>356.11970000000002</v>
      </c>
      <c r="AE47" s="23">
        <v>45723</v>
      </c>
      <c r="AF47" s="15">
        <v>1101.0657000000001</v>
      </c>
      <c r="AG47" s="23">
        <v>45723</v>
      </c>
      <c r="AH47" s="15">
        <v>1487.7808</v>
      </c>
    </row>
    <row r="48" spans="1:34">
      <c r="A48" s="24">
        <v>45730</v>
      </c>
      <c r="B48" s="15">
        <v>95.121300000000005</v>
      </c>
      <c r="C48" s="23">
        <v>45730</v>
      </c>
      <c r="D48" s="15">
        <v>796.66719999999998</v>
      </c>
      <c r="E48" s="23">
        <v>45725</v>
      </c>
      <c r="F48" s="15">
        <v>276.15440000000001</v>
      </c>
      <c r="G48" s="23">
        <v>45730</v>
      </c>
      <c r="H48" s="15">
        <v>462.18680000000001</v>
      </c>
      <c r="I48" s="23">
        <v>45730</v>
      </c>
      <c r="J48" s="15">
        <v>2075.8595</v>
      </c>
      <c r="K48" s="23">
        <v>45730</v>
      </c>
      <c r="L48" s="15">
        <v>1154.6337000000001</v>
      </c>
      <c r="M48" s="23">
        <v>45730</v>
      </c>
      <c r="N48" s="15">
        <v>269.27940000000001</v>
      </c>
      <c r="O48" s="23">
        <v>45730</v>
      </c>
      <c r="P48" s="15">
        <v>78.314400000000006</v>
      </c>
      <c r="Q48" s="23">
        <v>45730</v>
      </c>
      <c r="R48" s="15">
        <v>718.20669999999996</v>
      </c>
      <c r="S48" s="23">
        <v>45730</v>
      </c>
      <c r="T48" s="15">
        <v>690.125</v>
      </c>
      <c r="U48" s="23">
        <v>45730</v>
      </c>
      <c r="V48" s="15">
        <v>56.994999999999997</v>
      </c>
      <c r="W48" s="23">
        <v>45730</v>
      </c>
      <c r="X48" s="15">
        <v>531.80280000000005</v>
      </c>
      <c r="Y48" s="23">
        <v>45730</v>
      </c>
      <c r="Z48" s="15">
        <v>3416.7622000000001</v>
      </c>
      <c r="AA48" s="23">
        <v>45730</v>
      </c>
      <c r="AB48" s="15">
        <v>1985.2039</v>
      </c>
      <c r="AC48" s="23">
        <v>45730</v>
      </c>
      <c r="AD48" s="15">
        <v>355.25029999999998</v>
      </c>
      <c r="AE48" s="23">
        <v>45730</v>
      </c>
      <c r="AF48" s="15">
        <v>1100.1782000000001</v>
      </c>
      <c r="AG48" s="23">
        <v>45730</v>
      </c>
      <c r="AH48" s="15">
        <v>1484.4584</v>
      </c>
    </row>
    <row r="49" spans="1:34">
      <c r="A49" s="23">
        <v>45737</v>
      </c>
      <c r="B49" s="15">
        <v>95.271799999999999</v>
      </c>
      <c r="C49" s="23">
        <v>45737</v>
      </c>
      <c r="D49" s="15">
        <v>795.58690000000001</v>
      </c>
      <c r="E49" s="23">
        <v>45732</v>
      </c>
      <c r="F49" s="15">
        <v>275.62369999999999</v>
      </c>
      <c r="G49" s="23">
        <v>45737</v>
      </c>
      <c r="H49" s="15">
        <v>462.41730000000001</v>
      </c>
      <c r="I49" s="23">
        <v>45737</v>
      </c>
      <c r="J49" s="15">
        <v>2012.7233000000001</v>
      </c>
      <c r="K49" s="23">
        <v>45737</v>
      </c>
      <c r="L49" s="15">
        <v>1142.2827</v>
      </c>
      <c r="M49" s="23">
        <v>45737</v>
      </c>
      <c r="N49" s="15">
        <v>268.86340000000001</v>
      </c>
      <c r="O49" s="23">
        <v>45737</v>
      </c>
      <c r="P49" s="15">
        <v>78.629900000000006</v>
      </c>
      <c r="Q49" s="23">
        <v>45737</v>
      </c>
      <c r="R49" s="15">
        <v>716.2921</v>
      </c>
      <c r="S49" s="23">
        <v>45737</v>
      </c>
      <c r="T49" s="15">
        <v>688.86760000000004</v>
      </c>
      <c r="U49" s="23">
        <v>45737</v>
      </c>
      <c r="V49" s="15">
        <v>57.040900000000001</v>
      </c>
      <c r="W49" s="23">
        <v>45737</v>
      </c>
      <c r="X49" s="15">
        <v>530.71090000000004</v>
      </c>
      <c r="Y49" s="23">
        <v>45737</v>
      </c>
      <c r="Z49" s="15">
        <v>3411.5081</v>
      </c>
      <c r="AA49" s="23">
        <v>45737</v>
      </c>
      <c r="AB49" s="15">
        <v>1998.9719</v>
      </c>
      <c r="AC49" s="23">
        <v>45737</v>
      </c>
      <c r="AD49" s="15">
        <v>354.24470000000002</v>
      </c>
      <c r="AE49" s="23">
        <v>45737</v>
      </c>
      <c r="AF49" s="15">
        <v>1101.7481</v>
      </c>
      <c r="AG49" s="23">
        <v>45737</v>
      </c>
      <c r="AH49" s="15">
        <v>1477.0222000000001</v>
      </c>
    </row>
    <row r="50" spans="1:34">
      <c r="A50" s="24">
        <v>45744</v>
      </c>
      <c r="B50" s="15">
        <v>93.779499999999999</v>
      </c>
      <c r="C50" s="23">
        <v>45744</v>
      </c>
      <c r="D50" s="15">
        <v>796.82470000000001</v>
      </c>
      <c r="E50" s="23">
        <v>45739</v>
      </c>
      <c r="F50" s="15">
        <v>276.077</v>
      </c>
      <c r="G50" s="23">
        <v>45744</v>
      </c>
      <c r="H50" s="15">
        <v>459.89429999999999</v>
      </c>
      <c r="I50" s="23">
        <v>45744</v>
      </c>
      <c r="J50" s="15">
        <v>2235.3841000000002</v>
      </c>
      <c r="K50" s="23">
        <v>45744</v>
      </c>
      <c r="L50" s="15">
        <v>1126.7940000000001</v>
      </c>
      <c r="M50" s="23">
        <v>45744</v>
      </c>
      <c r="N50" s="15">
        <v>268.99439999999998</v>
      </c>
      <c r="O50" s="23">
        <v>45744</v>
      </c>
      <c r="P50" s="15">
        <v>78.2727</v>
      </c>
      <c r="Q50" s="23">
        <v>45744</v>
      </c>
      <c r="R50" s="15">
        <v>719.82150000000001</v>
      </c>
      <c r="S50" s="23">
        <v>45744</v>
      </c>
      <c r="T50" s="15">
        <v>688.3057</v>
      </c>
      <c r="U50" s="23">
        <v>45744</v>
      </c>
      <c r="V50" s="15">
        <v>57.2485</v>
      </c>
      <c r="W50" s="23">
        <v>45744</v>
      </c>
      <c r="X50" s="15">
        <v>530.41729999999995</v>
      </c>
      <c r="Y50" s="23">
        <v>45744</v>
      </c>
      <c r="Z50" s="15">
        <v>3420.9852000000001</v>
      </c>
      <c r="AA50" s="23">
        <v>45744</v>
      </c>
      <c r="AB50" s="15">
        <v>2000.7393</v>
      </c>
      <c r="AC50" s="23">
        <v>45744</v>
      </c>
      <c r="AD50" s="15">
        <v>357.31619999999998</v>
      </c>
      <c r="AE50" s="23">
        <v>45744</v>
      </c>
      <c r="AF50" s="15">
        <v>1102.5163</v>
      </c>
      <c r="AG50" s="23">
        <v>45744</v>
      </c>
      <c r="AH50" s="15">
        <v>1450.7608</v>
      </c>
    </row>
    <row r="51" spans="1:34">
      <c r="A51" s="23">
        <v>45751</v>
      </c>
      <c r="B51" s="15">
        <v>94.102000000000004</v>
      </c>
      <c r="C51" s="23">
        <v>45751</v>
      </c>
      <c r="D51" s="15">
        <v>796.03489999999999</v>
      </c>
      <c r="E51" s="23">
        <v>45746</v>
      </c>
      <c r="F51" s="15">
        <v>276.55650000000003</v>
      </c>
      <c r="G51" s="23">
        <v>45751</v>
      </c>
      <c r="H51" s="15">
        <v>466.5093</v>
      </c>
      <c r="I51" s="23">
        <v>45751</v>
      </c>
      <c r="J51" s="15">
        <v>2229.8861999999999</v>
      </c>
      <c r="K51" s="23">
        <v>45751</v>
      </c>
      <c r="L51" s="15">
        <v>1128.8635999999999</v>
      </c>
      <c r="M51" s="23">
        <v>45751</v>
      </c>
      <c r="N51" s="15">
        <v>268.35050000000001</v>
      </c>
      <c r="O51" s="23">
        <v>45751</v>
      </c>
      <c r="P51" s="15">
        <v>78.513400000000004</v>
      </c>
      <c r="Q51" s="23">
        <v>45751</v>
      </c>
      <c r="R51" s="15">
        <v>711.47209999999995</v>
      </c>
      <c r="S51" s="23">
        <v>45751</v>
      </c>
      <c r="T51" s="15">
        <v>688.02890000000002</v>
      </c>
      <c r="U51" s="23">
        <v>45751</v>
      </c>
      <c r="V51" s="15">
        <v>56.839100000000002</v>
      </c>
      <c r="W51" s="23">
        <v>45751</v>
      </c>
      <c r="X51" s="15">
        <v>528.50310000000002</v>
      </c>
      <c r="Y51" s="23">
        <v>45751</v>
      </c>
      <c r="Z51" s="15">
        <v>3410.2118999999998</v>
      </c>
      <c r="AA51" s="23">
        <v>45751</v>
      </c>
      <c r="AB51" s="15">
        <v>2022.5780999999999</v>
      </c>
      <c r="AC51" s="23">
        <v>45751</v>
      </c>
      <c r="AD51" s="15">
        <v>355.87180000000001</v>
      </c>
      <c r="AE51" s="23">
        <v>45751</v>
      </c>
      <c r="AF51" s="15">
        <v>1098.7847999999999</v>
      </c>
      <c r="AG51" s="23">
        <v>45751</v>
      </c>
      <c r="AH51" s="15">
        <v>1446.8588</v>
      </c>
    </row>
    <row r="52" spans="1:34">
      <c r="A52" s="24">
        <v>45758</v>
      </c>
      <c r="B52" s="15">
        <v>93.449600000000004</v>
      </c>
      <c r="C52" s="23">
        <v>45758</v>
      </c>
      <c r="D52" s="15">
        <v>791.83460000000002</v>
      </c>
      <c r="E52" s="23">
        <v>45753</v>
      </c>
      <c r="F52" s="15">
        <v>277.67919999999998</v>
      </c>
      <c r="G52" s="23">
        <v>45758</v>
      </c>
      <c r="H52" s="15">
        <v>462.52379999999999</v>
      </c>
      <c r="I52" s="23">
        <v>45758</v>
      </c>
      <c r="J52" s="15">
        <v>2209.9760000000001</v>
      </c>
      <c r="K52" s="23">
        <v>45758</v>
      </c>
      <c r="L52" s="15">
        <v>1128.6619000000001</v>
      </c>
      <c r="M52" s="23">
        <v>45758</v>
      </c>
      <c r="N52" s="15">
        <v>266.64069999999998</v>
      </c>
      <c r="O52" s="23">
        <v>45758</v>
      </c>
      <c r="P52" s="15">
        <v>76.320400000000006</v>
      </c>
      <c r="Q52" s="23">
        <v>45758</v>
      </c>
      <c r="R52" s="15">
        <v>692.9633</v>
      </c>
      <c r="S52" s="23">
        <v>45758</v>
      </c>
      <c r="T52" s="15">
        <v>678.67129999999997</v>
      </c>
      <c r="U52" s="23">
        <v>45758</v>
      </c>
      <c r="V52" s="15">
        <v>55.8645</v>
      </c>
      <c r="W52" s="23">
        <v>45758</v>
      </c>
      <c r="X52" s="15">
        <v>523.97389999999996</v>
      </c>
      <c r="Y52" s="23">
        <v>45758</v>
      </c>
      <c r="Z52" s="15">
        <v>3393.7676999999999</v>
      </c>
      <c r="AA52" s="23">
        <v>45758</v>
      </c>
      <c r="AB52" s="15">
        <v>2008.1427000000001</v>
      </c>
      <c r="AC52" s="23">
        <v>45758</v>
      </c>
      <c r="AD52" s="15">
        <v>353.1277</v>
      </c>
      <c r="AE52" s="23">
        <v>45758</v>
      </c>
      <c r="AF52" s="15">
        <v>1096.4666999999999</v>
      </c>
      <c r="AG52" s="23">
        <v>45758</v>
      </c>
      <c r="AH52" s="15">
        <v>1438.3345999999999</v>
      </c>
    </row>
    <row r="53" spans="1:34">
      <c r="A53" s="23">
        <v>45765</v>
      </c>
      <c r="B53" s="15">
        <v>92.720600000000005</v>
      </c>
      <c r="C53" s="23">
        <v>45765</v>
      </c>
      <c r="D53" s="15">
        <v>789.55589999999995</v>
      </c>
      <c r="E53" s="23">
        <v>45760</v>
      </c>
      <c r="F53" s="15">
        <v>276.95949999999999</v>
      </c>
      <c r="G53" s="23">
        <v>45765</v>
      </c>
      <c r="H53" s="15">
        <v>455.46820000000002</v>
      </c>
      <c r="I53" s="23">
        <v>45765</v>
      </c>
      <c r="J53" s="15">
        <v>2208.4112</v>
      </c>
      <c r="K53" s="23">
        <v>45765</v>
      </c>
      <c r="L53" s="15">
        <v>1164.9015999999999</v>
      </c>
      <c r="M53" s="23">
        <v>45765</v>
      </c>
      <c r="N53" s="15">
        <v>265.089</v>
      </c>
      <c r="O53" s="23">
        <v>45765</v>
      </c>
      <c r="P53" s="15">
        <v>75.338899999999995</v>
      </c>
      <c r="Q53" s="23">
        <v>45765</v>
      </c>
      <c r="R53" s="15">
        <v>692.48969999999997</v>
      </c>
      <c r="S53" s="23">
        <v>45765</v>
      </c>
      <c r="T53" s="15">
        <v>666.87480000000005</v>
      </c>
      <c r="U53" s="23">
        <v>45765</v>
      </c>
      <c r="V53" s="15">
        <v>55.364199999999997</v>
      </c>
      <c r="W53" s="23">
        <v>45765</v>
      </c>
      <c r="X53" s="15">
        <v>514.42110000000002</v>
      </c>
      <c r="Y53" s="23">
        <v>45765</v>
      </c>
      <c r="Z53" s="15">
        <v>3364.6550999999999</v>
      </c>
      <c r="AA53" s="23">
        <v>45765</v>
      </c>
      <c r="AB53" s="15">
        <v>1985.4186</v>
      </c>
      <c r="AC53" s="23">
        <v>45765</v>
      </c>
      <c r="AD53" s="15">
        <v>349.18520000000001</v>
      </c>
      <c r="AE53" s="23">
        <v>45765</v>
      </c>
      <c r="AF53" s="15">
        <v>1093.1732</v>
      </c>
      <c r="AG53" s="23">
        <v>45765</v>
      </c>
      <c r="AH53" s="15">
        <v>1431.5145</v>
      </c>
    </row>
    <row r="54" spans="1:34">
      <c r="A54" s="24">
        <v>45772</v>
      </c>
      <c r="B54" s="15">
        <v>92.657899999999998</v>
      </c>
      <c r="C54" s="23">
        <v>45772</v>
      </c>
      <c r="D54" s="15">
        <v>786.19569999999999</v>
      </c>
      <c r="E54" s="23">
        <v>45767</v>
      </c>
      <c r="F54" s="15">
        <v>274.8322</v>
      </c>
      <c r="G54" s="23">
        <v>45772</v>
      </c>
      <c r="H54" s="15">
        <v>455.2577</v>
      </c>
      <c r="I54" s="23">
        <v>45772</v>
      </c>
      <c r="J54" s="15">
        <v>2204.8130999999998</v>
      </c>
      <c r="K54" s="23">
        <v>45772</v>
      </c>
      <c r="L54" s="15">
        <v>1162.5744</v>
      </c>
      <c r="M54" s="23">
        <v>45772</v>
      </c>
      <c r="N54" s="15">
        <v>264.03989999999999</v>
      </c>
      <c r="O54" s="23">
        <v>45772</v>
      </c>
      <c r="P54" s="15">
        <v>74.628500000000003</v>
      </c>
      <c r="Q54" s="23">
        <v>45772</v>
      </c>
      <c r="R54" s="15">
        <v>690.61879999999996</v>
      </c>
      <c r="S54" s="23">
        <v>45772</v>
      </c>
      <c r="T54" s="15">
        <v>661.30290000000002</v>
      </c>
      <c r="U54" s="23">
        <v>45772</v>
      </c>
      <c r="V54" s="15">
        <v>55.208199999999998</v>
      </c>
      <c r="W54" s="23">
        <v>45772</v>
      </c>
      <c r="X54" s="15">
        <v>509.4402</v>
      </c>
      <c r="Y54" s="23">
        <v>45772</v>
      </c>
      <c r="Z54" s="15">
        <v>3340.5749999999998</v>
      </c>
      <c r="AA54" s="23">
        <v>45772</v>
      </c>
      <c r="AB54" s="15">
        <v>1985.3458000000001</v>
      </c>
      <c r="AC54" s="23">
        <v>45772</v>
      </c>
      <c r="AD54" s="15">
        <v>347.2833</v>
      </c>
      <c r="AE54" s="23">
        <v>45772</v>
      </c>
      <c r="AF54" s="15">
        <v>1093.1960999999999</v>
      </c>
      <c r="AG54" s="23">
        <v>45772</v>
      </c>
      <c r="AH54" s="15">
        <v>1427.2552000000001</v>
      </c>
    </row>
    <row r="55" spans="1:34">
      <c r="A55" s="23">
        <v>45779</v>
      </c>
      <c r="B55" s="15">
        <v>92.215900000000005</v>
      </c>
      <c r="C55" s="23">
        <v>45779</v>
      </c>
      <c r="D55" s="15">
        <v>779.56899999999996</v>
      </c>
      <c r="E55" s="23">
        <v>45774</v>
      </c>
      <c r="F55" s="15">
        <v>278.44319999999999</v>
      </c>
      <c r="G55" s="23">
        <v>45779</v>
      </c>
      <c r="H55" s="15">
        <v>453.74380000000002</v>
      </c>
      <c r="I55" s="23">
        <v>45779</v>
      </c>
      <c r="J55" s="15">
        <v>2197.9454999999998</v>
      </c>
      <c r="K55" s="23">
        <v>45779</v>
      </c>
      <c r="L55" s="15">
        <v>1153.9005</v>
      </c>
      <c r="M55" s="23">
        <v>45779</v>
      </c>
      <c r="N55" s="15">
        <v>263.18889999999999</v>
      </c>
      <c r="O55" s="23">
        <v>45779</v>
      </c>
      <c r="P55" s="15">
        <v>73.730699999999999</v>
      </c>
      <c r="Q55" s="23">
        <v>45779</v>
      </c>
      <c r="R55" s="15">
        <v>688.81949999999995</v>
      </c>
      <c r="S55" s="23">
        <v>45779</v>
      </c>
      <c r="T55" s="15">
        <v>660.58100000000002</v>
      </c>
      <c r="U55" s="23">
        <v>45779</v>
      </c>
      <c r="V55" s="15">
        <v>54.684199999999997</v>
      </c>
      <c r="W55" s="23">
        <v>45779</v>
      </c>
      <c r="X55" s="15">
        <v>503.71409999999997</v>
      </c>
      <c r="Y55" s="23">
        <v>45779</v>
      </c>
      <c r="Z55" s="15">
        <v>3315.7568999999999</v>
      </c>
      <c r="AA55" s="23">
        <v>45779</v>
      </c>
      <c r="AB55" s="15">
        <v>1959.0608999999999</v>
      </c>
      <c r="AC55" s="23">
        <v>45779</v>
      </c>
      <c r="AD55" s="15">
        <v>346.19589999999999</v>
      </c>
      <c r="AE55" s="23">
        <v>45779</v>
      </c>
      <c r="AF55" s="15">
        <v>1099.6864</v>
      </c>
      <c r="AG55" s="23">
        <v>45779</v>
      </c>
      <c r="AH55" s="15">
        <v>1427.7366</v>
      </c>
    </row>
    <row r="56" spans="1:34">
      <c r="A56" s="24">
        <v>45786</v>
      </c>
      <c r="B56" s="15">
        <v>92.513499999999993</v>
      </c>
      <c r="C56" s="23">
        <v>45786</v>
      </c>
      <c r="D56" s="15">
        <v>778.96550000000002</v>
      </c>
      <c r="E56" s="23">
        <v>45781</v>
      </c>
      <c r="F56" s="15">
        <v>279.0059</v>
      </c>
      <c r="G56" s="23">
        <v>45786</v>
      </c>
      <c r="H56" s="15">
        <v>452.87790000000001</v>
      </c>
      <c r="I56" s="23">
        <v>45786</v>
      </c>
      <c r="J56" s="15">
        <v>2209.8211000000001</v>
      </c>
      <c r="K56" s="23">
        <v>45786</v>
      </c>
      <c r="L56" s="15">
        <v>1151.2895000000001</v>
      </c>
      <c r="M56" s="23">
        <v>45786</v>
      </c>
      <c r="N56" s="15">
        <v>263.0061</v>
      </c>
      <c r="O56" s="23">
        <v>45786</v>
      </c>
      <c r="P56" s="15">
        <v>72.832400000000007</v>
      </c>
      <c r="Q56" s="23">
        <v>45786</v>
      </c>
      <c r="R56" s="15">
        <v>692.06939999999997</v>
      </c>
      <c r="S56" s="23">
        <v>45786</v>
      </c>
      <c r="T56" s="15">
        <v>659.22540000000004</v>
      </c>
      <c r="U56" s="23">
        <v>45786</v>
      </c>
      <c r="V56" s="15">
        <v>54.461199999999998</v>
      </c>
      <c r="W56" s="23">
        <v>45786</v>
      </c>
      <c r="X56" s="15">
        <v>504.11559999999997</v>
      </c>
      <c r="Y56" s="23">
        <v>45786</v>
      </c>
      <c r="Z56" s="15">
        <v>3324.7256000000002</v>
      </c>
      <c r="AA56" s="23">
        <v>45786</v>
      </c>
      <c r="AB56" s="15">
        <v>1951.9830999999999</v>
      </c>
      <c r="AC56" s="23">
        <v>45786</v>
      </c>
      <c r="AD56" s="15">
        <v>345.53149999999999</v>
      </c>
      <c r="AE56" s="23">
        <v>45786</v>
      </c>
      <c r="AF56" s="15">
        <v>1099.162</v>
      </c>
      <c r="AG56" s="23">
        <v>45786</v>
      </c>
      <c r="AH56" s="15">
        <v>1435.3668</v>
      </c>
    </row>
    <row r="57" spans="1:34">
      <c r="A57" s="23">
        <v>45793</v>
      </c>
      <c r="B57" s="15">
        <v>92.275099999999995</v>
      </c>
      <c r="C57" s="23">
        <v>45793</v>
      </c>
      <c r="D57" s="15">
        <v>783.07619999999997</v>
      </c>
      <c r="E57" s="23">
        <v>45788</v>
      </c>
      <c r="F57" s="15">
        <v>278.99849999999998</v>
      </c>
      <c r="G57" s="23">
        <v>45793</v>
      </c>
      <c r="H57" s="15">
        <v>443.84010000000001</v>
      </c>
      <c r="I57" s="23">
        <v>45793</v>
      </c>
      <c r="J57" s="15">
        <v>2206.3229000000001</v>
      </c>
      <c r="K57" s="23">
        <v>45793</v>
      </c>
      <c r="L57" s="15">
        <v>1152.1984</v>
      </c>
      <c r="M57" s="23">
        <v>45793</v>
      </c>
      <c r="N57" s="15">
        <v>264.09320000000002</v>
      </c>
      <c r="O57" s="23">
        <v>45793</v>
      </c>
      <c r="P57" s="15">
        <v>72.844800000000006</v>
      </c>
      <c r="Q57" s="23">
        <v>45793</v>
      </c>
      <c r="R57" s="15">
        <v>693.74239999999998</v>
      </c>
      <c r="S57" s="23">
        <v>45793</v>
      </c>
      <c r="T57" s="15">
        <v>653.64340000000004</v>
      </c>
      <c r="U57" s="23">
        <v>45793</v>
      </c>
      <c r="V57" s="15">
        <v>54.600700000000003</v>
      </c>
      <c r="W57" s="23">
        <v>45793</v>
      </c>
      <c r="X57" s="15">
        <v>504.25749999999999</v>
      </c>
      <c r="Y57" s="23">
        <v>45793</v>
      </c>
      <c r="Z57" s="15">
        <v>3334.8960999999999</v>
      </c>
      <c r="AA57" s="23">
        <v>45793</v>
      </c>
      <c r="AB57" s="15">
        <v>2004.5125</v>
      </c>
      <c r="AC57" s="23">
        <v>45793</v>
      </c>
      <c r="AD57" s="15">
        <v>346.02300000000002</v>
      </c>
      <c r="AE57" s="23">
        <v>45793</v>
      </c>
      <c r="AF57" s="15">
        <v>1107.6704</v>
      </c>
      <c r="AG57" s="23">
        <v>45793</v>
      </c>
      <c r="AH57" s="15">
        <v>1437.9039</v>
      </c>
    </row>
    <row r="58" spans="1:34">
      <c r="A58" s="24">
        <v>45800</v>
      </c>
      <c r="B58" s="15">
        <v>92.185299999999998</v>
      </c>
      <c r="C58" s="23">
        <v>45800</v>
      </c>
      <c r="D58" s="15">
        <v>779.35180000000003</v>
      </c>
      <c r="E58" s="23">
        <v>45795</v>
      </c>
      <c r="F58" s="15">
        <v>278.8458</v>
      </c>
      <c r="G58" s="23">
        <v>45800</v>
      </c>
      <c r="H58" s="15">
        <v>443.40629999999999</v>
      </c>
      <c r="I58" s="23">
        <v>45800</v>
      </c>
      <c r="J58" s="15">
        <v>2215.8362000000002</v>
      </c>
      <c r="K58" s="23">
        <v>45800</v>
      </c>
      <c r="L58" s="15">
        <v>1150.6931</v>
      </c>
      <c r="M58" s="23">
        <v>45800</v>
      </c>
      <c r="N58" s="15">
        <v>263.2989</v>
      </c>
      <c r="O58" s="23">
        <v>45800</v>
      </c>
      <c r="P58" s="15">
        <v>72.430300000000003</v>
      </c>
      <c r="Q58" s="23">
        <v>45800</v>
      </c>
      <c r="R58" s="15">
        <v>688.01760000000002</v>
      </c>
      <c r="S58" s="23">
        <v>45800</v>
      </c>
      <c r="T58" s="15">
        <v>642.60450000000003</v>
      </c>
      <c r="U58" s="23">
        <v>45800</v>
      </c>
      <c r="V58" s="15">
        <v>54.261099999999999</v>
      </c>
      <c r="W58" s="23">
        <v>45800</v>
      </c>
      <c r="X58" s="15">
        <v>501.49810000000002</v>
      </c>
      <c r="Y58" s="23">
        <v>45800</v>
      </c>
      <c r="Z58" s="15">
        <v>3321.8984</v>
      </c>
      <c r="AA58" s="23">
        <v>45800</v>
      </c>
      <c r="AB58" s="15">
        <v>1997.4091000000001</v>
      </c>
      <c r="AC58" s="23">
        <v>45800</v>
      </c>
      <c r="AD58" s="15">
        <v>344.786</v>
      </c>
      <c r="AE58" s="23">
        <v>45800</v>
      </c>
      <c r="AF58" s="15">
        <v>1105.9428</v>
      </c>
      <c r="AG58" s="23">
        <v>45800</v>
      </c>
      <c r="AH58" s="15">
        <v>1439.4744000000001</v>
      </c>
    </row>
    <row r="59" spans="1:34">
      <c r="A59" s="23">
        <v>45807</v>
      </c>
      <c r="B59" s="15">
        <v>91.988900000000001</v>
      </c>
      <c r="C59" s="23">
        <v>45807</v>
      </c>
      <c r="D59" s="15">
        <v>775.02049999999997</v>
      </c>
      <c r="E59" s="23">
        <v>45802</v>
      </c>
      <c r="F59" s="15">
        <v>279.52</v>
      </c>
      <c r="G59" s="23">
        <v>45807</v>
      </c>
      <c r="H59" s="15">
        <v>441.75290000000001</v>
      </c>
      <c r="I59" s="23">
        <v>45807</v>
      </c>
      <c r="J59" s="15">
        <v>2209.9670999999998</v>
      </c>
      <c r="K59" s="23">
        <v>45807</v>
      </c>
      <c r="L59" s="15">
        <v>1152.4556</v>
      </c>
      <c r="M59" s="23">
        <v>45807</v>
      </c>
      <c r="N59" s="15">
        <v>262.84859999999998</v>
      </c>
      <c r="O59" s="23">
        <v>45807</v>
      </c>
      <c r="P59" s="15">
        <v>71.985100000000003</v>
      </c>
      <c r="Q59" s="23">
        <v>45807</v>
      </c>
      <c r="R59" s="15">
        <v>687.02160000000003</v>
      </c>
      <c r="S59" s="23">
        <v>45807</v>
      </c>
      <c r="T59" s="15">
        <v>641.99339999999995</v>
      </c>
      <c r="U59" s="23">
        <v>45807</v>
      </c>
      <c r="V59" s="15">
        <v>54.237299999999998</v>
      </c>
      <c r="W59" s="23">
        <v>45807</v>
      </c>
      <c r="X59" s="15">
        <v>501.23329999999999</v>
      </c>
      <c r="Y59" s="23">
        <v>45807</v>
      </c>
      <c r="Z59" s="15">
        <v>3320.8085000000001</v>
      </c>
      <c r="AA59" s="23">
        <v>45807</v>
      </c>
      <c r="AB59" s="15">
        <v>1986.8712</v>
      </c>
      <c r="AC59" s="23">
        <v>45807</v>
      </c>
      <c r="AD59" s="15">
        <v>344.57929999999999</v>
      </c>
      <c r="AE59" s="23">
        <v>45807</v>
      </c>
      <c r="AF59" s="15">
        <v>1111.1472000000001</v>
      </c>
      <c r="AG59" s="23">
        <v>45807</v>
      </c>
      <c r="AH59" s="15">
        <v>1438.4958999999999</v>
      </c>
    </row>
    <row r="60" spans="1:34">
      <c r="A60" s="24">
        <v>45814</v>
      </c>
      <c r="B60" s="15">
        <v>92.050899999999999</v>
      </c>
      <c r="C60" s="23">
        <v>45814</v>
      </c>
      <c r="D60" s="15">
        <v>772.87379999999996</v>
      </c>
      <c r="E60" s="23">
        <v>45809</v>
      </c>
      <c r="F60" s="15">
        <v>279.35770000000002</v>
      </c>
      <c r="G60" s="23">
        <v>45814</v>
      </c>
      <c r="H60" s="15">
        <v>441.3494</v>
      </c>
      <c r="I60" s="23">
        <v>45814</v>
      </c>
      <c r="J60" s="15">
        <v>2206.9751999999999</v>
      </c>
      <c r="K60" s="23">
        <v>45814</v>
      </c>
      <c r="L60" s="15">
        <v>1151.9364</v>
      </c>
      <c r="M60" s="23">
        <v>45814</v>
      </c>
      <c r="N60" s="15">
        <v>262.53460000000001</v>
      </c>
      <c r="O60" s="23">
        <v>45814</v>
      </c>
      <c r="P60" s="15">
        <v>71.776799999999994</v>
      </c>
      <c r="Q60" s="23">
        <v>45814</v>
      </c>
      <c r="R60" s="15">
        <v>687.32389999999998</v>
      </c>
      <c r="S60" s="23">
        <v>45814</v>
      </c>
      <c r="T60" s="15">
        <v>641.33159999999998</v>
      </c>
      <c r="U60" s="23">
        <v>45814</v>
      </c>
      <c r="V60" s="15">
        <v>54.075899999999997</v>
      </c>
      <c r="W60" s="23">
        <v>45814</v>
      </c>
      <c r="X60" s="15">
        <v>499.91590000000002</v>
      </c>
      <c r="Y60" s="23">
        <v>45814</v>
      </c>
      <c r="Z60" s="15">
        <v>3313.3942999999999</v>
      </c>
      <c r="AA60" s="23">
        <v>45814</v>
      </c>
      <c r="AB60" s="15">
        <v>1990.4861000000001</v>
      </c>
      <c r="AC60" s="23">
        <v>45814</v>
      </c>
      <c r="AD60" s="15">
        <v>343.86250000000001</v>
      </c>
      <c r="AE60" s="23">
        <v>45814</v>
      </c>
      <c r="AF60" s="15">
        <v>1110.6886</v>
      </c>
      <c r="AG60" s="23">
        <v>45814</v>
      </c>
      <c r="AH60" s="15">
        <v>1435.4166</v>
      </c>
    </row>
    <row r="61" spans="1:34">
      <c r="A61" s="23">
        <v>45821</v>
      </c>
      <c r="B61" s="15">
        <v>91.979500000000002</v>
      </c>
      <c r="C61" s="23">
        <v>45821</v>
      </c>
      <c r="D61" s="15">
        <v>771.43430000000001</v>
      </c>
      <c r="E61" s="23">
        <v>45816</v>
      </c>
      <c r="F61" s="15">
        <v>279.15879999999999</v>
      </c>
      <c r="G61" s="23">
        <v>45821</v>
      </c>
      <c r="H61" s="15">
        <v>440.22120000000001</v>
      </c>
      <c r="I61" s="23">
        <v>45821</v>
      </c>
      <c r="J61" s="15">
        <v>2220.7914999999998</v>
      </c>
      <c r="K61" s="23">
        <v>45821</v>
      </c>
      <c r="L61" s="15">
        <v>1152.9485</v>
      </c>
      <c r="M61" s="23">
        <v>45821</v>
      </c>
      <c r="N61" s="15">
        <v>262.21969999999999</v>
      </c>
      <c r="O61" s="23">
        <v>45821</v>
      </c>
      <c r="P61" s="15">
        <v>71.637900000000002</v>
      </c>
      <c r="Q61" s="23">
        <v>45821</v>
      </c>
      <c r="R61" s="15">
        <v>683.43510000000003</v>
      </c>
      <c r="S61" s="23">
        <v>45821</v>
      </c>
      <c r="T61" s="15">
        <v>639.99749999999995</v>
      </c>
      <c r="U61" s="23">
        <v>45821</v>
      </c>
      <c r="V61" s="15">
        <v>53.809699999999999</v>
      </c>
      <c r="W61" s="23">
        <v>45821</v>
      </c>
      <c r="X61" s="15">
        <v>499.77319999999997</v>
      </c>
      <c r="Y61" s="23">
        <v>45821</v>
      </c>
      <c r="Z61" s="15">
        <v>3320.0954000000002</v>
      </c>
      <c r="AA61" s="23">
        <v>45821</v>
      </c>
      <c r="AB61" s="15">
        <v>1983.1361999999999</v>
      </c>
      <c r="AC61" s="23">
        <v>45821</v>
      </c>
      <c r="AD61" s="15">
        <v>343.05110000000002</v>
      </c>
      <c r="AE61" s="23">
        <v>45821</v>
      </c>
      <c r="AF61" s="15">
        <v>1112.0422000000001</v>
      </c>
      <c r="AG61" s="23">
        <v>45821</v>
      </c>
      <c r="AH61" s="15">
        <v>1429.9293</v>
      </c>
    </row>
    <row r="62" spans="1:34">
      <c r="A62" s="24">
        <v>45828</v>
      </c>
      <c r="B62" s="15">
        <v>91.625</v>
      </c>
      <c r="C62" s="23">
        <v>45828</v>
      </c>
      <c r="D62" s="15">
        <v>772.98519999999996</v>
      </c>
      <c r="E62" s="23">
        <v>45823</v>
      </c>
      <c r="F62" s="15">
        <v>278.64350000000002</v>
      </c>
      <c r="G62" s="23">
        <v>45828</v>
      </c>
      <c r="H62" s="15">
        <v>440.14530000000002</v>
      </c>
      <c r="I62" s="23">
        <v>45828</v>
      </c>
      <c r="J62" s="15">
        <v>2217.5740999999998</v>
      </c>
      <c r="K62" s="23">
        <v>45828</v>
      </c>
      <c r="L62" s="15">
        <v>1152.7958000000001</v>
      </c>
      <c r="M62" s="23">
        <v>45828</v>
      </c>
      <c r="N62" s="15">
        <v>262.62459999999999</v>
      </c>
      <c r="O62" s="23">
        <v>45828</v>
      </c>
      <c r="P62" s="15">
        <v>71.5214</v>
      </c>
      <c r="Q62" s="23">
        <v>45828</v>
      </c>
      <c r="R62" s="15">
        <v>686.25689999999997</v>
      </c>
      <c r="S62" s="23">
        <v>45828</v>
      </c>
      <c r="T62" s="15">
        <v>641.94159999999999</v>
      </c>
      <c r="U62" s="23">
        <v>45828</v>
      </c>
      <c r="V62" s="15">
        <v>53.9086</v>
      </c>
      <c r="W62" s="23">
        <v>45828</v>
      </c>
      <c r="X62" s="15">
        <v>500.72859999999997</v>
      </c>
      <c r="Y62" s="23">
        <v>45828</v>
      </c>
      <c r="Z62" s="15">
        <v>3323.5037000000002</v>
      </c>
      <c r="AA62" s="23">
        <v>45828</v>
      </c>
      <c r="AB62" s="15">
        <v>1973.5563</v>
      </c>
      <c r="AC62" s="23">
        <v>45828</v>
      </c>
      <c r="AD62" s="15">
        <v>343.49930000000001</v>
      </c>
      <c r="AE62" s="23">
        <v>45828</v>
      </c>
      <c r="AF62" s="15">
        <v>1122.6047000000001</v>
      </c>
      <c r="AG62" s="23">
        <v>45828</v>
      </c>
      <c r="AH62" s="15">
        <v>1430.2348</v>
      </c>
    </row>
    <row r="63" spans="1:34">
      <c r="A63" s="23">
        <v>45835</v>
      </c>
      <c r="B63" s="15">
        <v>91.590599999999995</v>
      </c>
      <c r="C63" s="23">
        <v>45835</v>
      </c>
      <c r="D63" s="15">
        <v>776.34950000000003</v>
      </c>
      <c r="E63" s="23">
        <v>45830</v>
      </c>
      <c r="F63" s="15">
        <v>278.32279999999997</v>
      </c>
      <c r="G63" s="23">
        <v>45835</v>
      </c>
      <c r="H63" s="15">
        <v>436.09780000000001</v>
      </c>
      <c r="I63" s="23">
        <v>45835</v>
      </c>
      <c r="J63" s="15">
        <v>2224.5140999999999</v>
      </c>
      <c r="K63" s="23">
        <v>45835</v>
      </c>
      <c r="L63" s="15">
        <v>1144.635</v>
      </c>
      <c r="M63" s="23">
        <v>45835</v>
      </c>
      <c r="N63" s="15">
        <v>263.6121</v>
      </c>
      <c r="O63" s="23">
        <v>45835</v>
      </c>
      <c r="P63" s="15">
        <v>71.289000000000001</v>
      </c>
      <c r="Q63" s="23">
        <v>45835</v>
      </c>
      <c r="R63" s="15">
        <v>689.01599999999996</v>
      </c>
      <c r="S63" s="23">
        <v>45835</v>
      </c>
      <c r="T63" s="15">
        <v>643.04200000000003</v>
      </c>
      <c r="U63" s="23">
        <v>45835</v>
      </c>
      <c r="V63" s="15">
        <v>53.6539</v>
      </c>
      <c r="W63" s="23">
        <v>45835</v>
      </c>
      <c r="X63" s="15">
        <v>498.06049999999999</v>
      </c>
      <c r="Y63" s="23">
        <v>45835</v>
      </c>
      <c r="Z63" s="15">
        <v>3333.5509000000002</v>
      </c>
      <c r="AA63" s="23">
        <v>45835</v>
      </c>
      <c r="AB63" s="15">
        <v>1990.3412000000001</v>
      </c>
      <c r="AC63" s="23">
        <v>45835</v>
      </c>
      <c r="AD63" s="15">
        <v>336.45960000000002</v>
      </c>
      <c r="AE63" s="23">
        <v>45835</v>
      </c>
      <c r="AF63" s="15">
        <v>1123.2121999999999</v>
      </c>
      <c r="AG63" s="23">
        <v>45835</v>
      </c>
      <c r="AH63" s="15">
        <v>1422.8866</v>
      </c>
    </row>
    <row r="64" spans="1:34">
      <c r="A64" s="24">
        <v>45842</v>
      </c>
      <c r="B64" s="15">
        <v>91.4619</v>
      </c>
      <c r="C64" s="23">
        <v>45842</v>
      </c>
      <c r="D64" s="15">
        <v>775.57259999999997</v>
      </c>
      <c r="E64" s="23">
        <v>45837</v>
      </c>
      <c r="F64" s="15">
        <v>278.61610000000002</v>
      </c>
      <c r="G64" s="23">
        <v>45842</v>
      </c>
      <c r="H64" s="15">
        <v>434.88330000000002</v>
      </c>
      <c r="I64" s="23">
        <v>45842</v>
      </c>
      <c r="J64" s="15">
        <v>2224.5486000000001</v>
      </c>
      <c r="K64" s="23">
        <v>45842</v>
      </c>
      <c r="L64" s="15">
        <v>1145.3557000000001</v>
      </c>
      <c r="M64" s="23">
        <v>45842</v>
      </c>
      <c r="N64" s="15">
        <v>263.43849999999998</v>
      </c>
      <c r="O64" s="23">
        <v>45842</v>
      </c>
      <c r="P64" s="15">
        <v>74.548400000000001</v>
      </c>
      <c r="Q64" s="23">
        <v>45842</v>
      </c>
      <c r="R64" s="15">
        <v>683.62459999999999</v>
      </c>
      <c r="S64" s="23">
        <v>45842</v>
      </c>
      <c r="T64" s="15">
        <v>643.35789999999997</v>
      </c>
      <c r="U64" s="23">
        <v>45842</v>
      </c>
      <c r="V64" s="15">
        <v>53.450699999999998</v>
      </c>
      <c r="W64" s="23">
        <v>45842</v>
      </c>
      <c r="X64" s="15">
        <v>491.43560000000002</v>
      </c>
      <c r="Y64" s="23">
        <v>45842</v>
      </c>
      <c r="Z64" s="15">
        <v>3332.6774999999998</v>
      </c>
      <c r="AA64" s="23">
        <v>45842</v>
      </c>
      <c r="AB64" s="15">
        <v>1978.4676999999999</v>
      </c>
      <c r="AC64" s="23">
        <v>45842</v>
      </c>
      <c r="AD64" s="15">
        <v>335.49450000000002</v>
      </c>
      <c r="AE64" s="23">
        <v>45842</v>
      </c>
      <c r="AF64" s="15">
        <v>1117.9096</v>
      </c>
      <c r="AG64" s="23">
        <v>45842</v>
      </c>
      <c r="AH64" s="15">
        <v>1421.1868999999999</v>
      </c>
    </row>
    <row r="65" spans="1:34">
      <c r="A65" s="23">
        <v>45849</v>
      </c>
      <c r="B65" s="15">
        <v>91.333799999999997</v>
      </c>
      <c r="C65" s="23">
        <v>45849</v>
      </c>
      <c r="D65" s="15">
        <v>774.50930000000005</v>
      </c>
      <c r="E65" s="23">
        <v>45844</v>
      </c>
      <c r="F65" s="15">
        <v>277.77030000000002</v>
      </c>
      <c r="G65" s="23">
        <v>45849</v>
      </c>
      <c r="H65" s="15">
        <v>435.91399999999999</v>
      </c>
      <c r="I65" s="23">
        <v>45849</v>
      </c>
      <c r="J65" s="15">
        <v>2204.5733</v>
      </c>
      <c r="K65" s="23">
        <v>45849</v>
      </c>
      <c r="L65" s="15">
        <v>1146.3225</v>
      </c>
      <c r="M65" s="23">
        <v>45849</v>
      </c>
      <c r="N65" s="15">
        <v>262.95940000000002</v>
      </c>
      <c r="O65" s="23">
        <v>45849</v>
      </c>
      <c r="P65" s="15">
        <v>74.781099999999995</v>
      </c>
      <c r="Q65" s="23">
        <v>45849</v>
      </c>
      <c r="R65" s="15">
        <v>683.32590000000005</v>
      </c>
      <c r="S65" s="23">
        <v>45849</v>
      </c>
      <c r="T65" s="15">
        <v>643.03970000000004</v>
      </c>
      <c r="U65" s="23">
        <v>45849</v>
      </c>
      <c r="V65" s="15">
        <v>53.335299999999997</v>
      </c>
      <c r="W65" s="23">
        <v>45849</v>
      </c>
      <c r="X65" s="15">
        <v>487.22039999999998</v>
      </c>
      <c r="Y65" s="23">
        <v>45849</v>
      </c>
      <c r="Z65" s="15">
        <v>3324.2017999999998</v>
      </c>
      <c r="AA65" s="23">
        <v>45849</v>
      </c>
      <c r="AB65" s="15">
        <v>1982.3371999999999</v>
      </c>
      <c r="AC65" s="23">
        <v>45849</v>
      </c>
      <c r="AD65" s="15">
        <v>335.27330000000001</v>
      </c>
      <c r="AE65" s="23">
        <v>45849</v>
      </c>
      <c r="AF65" s="15">
        <v>1122.9055000000001</v>
      </c>
      <c r="AG65" s="23">
        <v>45849</v>
      </c>
      <c r="AH65" s="15">
        <v>1419.7674</v>
      </c>
    </row>
    <row r="66" spans="1:34">
      <c r="A66" s="24">
        <v>45856</v>
      </c>
      <c r="B66" s="15">
        <v>91.736400000000003</v>
      </c>
      <c r="C66" s="23">
        <v>45856</v>
      </c>
      <c r="D66" s="15">
        <v>775.6241</v>
      </c>
      <c r="E66" s="23">
        <v>45851</v>
      </c>
      <c r="F66" s="15">
        <v>276.31830000000002</v>
      </c>
      <c r="G66" s="23">
        <v>45856</v>
      </c>
      <c r="H66" s="15">
        <v>435.71530000000001</v>
      </c>
      <c r="I66" s="23">
        <v>45856</v>
      </c>
      <c r="J66" s="15">
        <v>2191.4034000000001</v>
      </c>
      <c r="K66" s="23">
        <v>45856</v>
      </c>
      <c r="L66" s="15">
        <v>1146.2119</v>
      </c>
      <c r="M66" s="23">
        <v>45856</v>
      </c>
      <c r="N66" s="15">
        <v>263.32510000000002</v>
      </c>
      <c r="O66" s="23">
        <v>45856</v>
      </c>
      <c r="P66" s="15">
        <v>74.850200000000001</v>
      </c>
      <c r="Q66" s="23">
        <v>45856</v>
      </c>
      <c r="R66" s="15">
        <v>682.77179999999998</v>
      </c>
      <c r="S66" s="23">
        <v>45856</v>
      </c>
      <c r="T66" s="15">
        <v>644.25699999999995</v>
      </c>
      <c r="U66" s="23">
        <v>45856</v>
      </c>
      <c r="V66" s="15">
        <v>53.228700000000003</v>
      </c>
      <c r="W66" s="23">
        <v>45856</v>
      </c>
      <c r="X66" s="15">
        <v>476.23099999999999</v>
      </c>
      <c r="Y66" s="23">
        <v>45856</v>
      </c>
      <c r="Z66" s="15">
        <v>3325.7692000000002</v>
      </c>
      <c r="AA66" s="23">
        <v>45856</v>
      </c>
      <c r="AB66" s="15">
        <v>1976.0186000000001</v>
      </c>
      <c r="AC66" s="23">
        <v>45856</v>
      </c>
      <c r="AD66" s="15">
        <v>335.18200000000002</v>
      </c>
      <c r="AE66" s="23">
        <v>45856</v>
      </c>
      <c r="AF66" s="15">
        <v>1123.5902000000001</v>
      </c>
      <c r="AG66" s="23">
        <v>45856</v>
      </c>
      <c r="AH66" s="15">
        <v>1417.9709</v>
      </c>
    </row>
    <row r="67" spans="1:34">
      <c r="A67" s="23">
        <v>45863</v>
      </c>
      <c r="B67" s="15">
        <v>91.7376</v>
      </c>
      <c r="C67" s="23">
        <v>45863</v>
      </c>
      <c r="D67" s="15">
        <v>776.10019999999997</v>
      </c>
      <c r="E67" s="23">
        <v>45858</v>
      </c>
      <c r="F67" s="15">
        <v>274.35059999999999</v>
      </c>
      <c r="G67" s="23">
        <v>45863</v>
      </c>
      <c r="H67" s="15">
        <v>435.40179999999998</v>
      </c>
      <c r="I67" s="23">
        <v>45863</v>
      </c>
      <c r="J67" s="15">
        <v>2185.2256000000002</v>
      </c>
      <c r="K67" s="23">
        <v>45863</v>
      </c>
      <c r="L67" s="15">
        <v>1146.567</v>
      </c>
      <c r="M67" s="23">
        <v>45863</v>
      </c>
      <c r="N67" s="15">
        <v>263.64139999999998</v>
      </c>
      <c r="O67" s="23">
        <v>45863</v>
      </c>
      <c r="P67" s="15">
        <v>74.438599999999994</v>
      </c>
      <c r="Q67" s="23">
        <v>45863</v>
      </c>
      <c r="R67" s="15">
        <v>680.69590000000005</v>
      </c>
      <c r="S67" s="23">
        <v>45863</v>
      </c>
      <c r="T67" s="15">
        <v>642.96479999999997</v>
      </c>
      <c r="U67" s="23">
        <v>45863</v>
      </c>
      <c r="V67" s="15">
        <v>52.840699999999998</v>
      </c>
      <c r="W67" s="23">
        <v>45863</v>
      </c>
      <c r="X67" s="15">
        <v>463.78</v>
      </c>
      <c r="Y67" s="23">
        <v>45863</v>
      </c>
      <c r="Z67" s="15">
        <v>3271.3973000000001</v>
      </c>
      <c r="AA67" s="23">
        <v>45863</v>
      </c>
      <c r="AB67" s="15">
        <v>1973.2755</v>
      </c>
      <c r="AC67" s="23">
        <v>45863</v>
      </c>
      <c r="AD67" s="15">
        <v>333.62310000000002</v>
      </c>
      <c r="AE67" s="23">
        <v>45863</v>
      </c>
      <c r="AF67" s="15">
        <v>1126.1858</v>
      </c>
      <c r="AG67" s="23">
        <v>45863</v>
      </c>
      <c r="AH67" s="15">
        <v>1416.384</v>
      </c>
    </row>
    <row r="68" spans="1:34">
      <c r="A68" s="24">
        <v>45870</v>
      </c>
      <c r="B68" s="15">
        <v>92.261300000000006</v>
      </c>
      <c r="C68" s="23">
        <v>45870</v>
      </c>
      <c r="D68" s="15">
        <v>786.36350000000004</v>
      </c>
      <c r="E68" s="23">
        <v>45865</v>
      </c>
      <c r="F68" s="15">
        <v>276.35599999999999</v>
      </c>
      <c r="G68" s="23">
        <v>45870</v>
      </c>
      <c r="H68" s="15">
        <v>437.029</v>
      </c>
      <c r="I68" s="23">
        <v>45870</v>
      </c>
      <c r="J68" s="15">
        <v>2181.8042</v>
      </c>
      <c r="K68" s="23">
        <v>45870</v>
      </c>
      <c r="L68" s="15">
        <v>1162.0592999999999</v>
      </c>
      <c r="M68" s="23">
        <v>45870</v>
      </c>
      <c r="N68" s="15">
        <v>265.86169999999998</v>
      </c>
      <c r="O68" s="23">
        <v>45870</v>
      </c>
      <c r="P68" s="15">
        <v>72.765799999999999</v>
      </c>
      <c r="Q68" s="23">
        <v>45870</v>
      </c>
      <c r="R68" s="15">
        <v>685.51890000000003</v>
      </c>
      <c r="S68" s="23">
        <v>45870</v>
      </c>
      <c r="T68" s="15">
        <v>652.85260000000005</v>
      </c>
      <c r="U68" s="23">
        <v>45870</v>
      </c>
      <c r="V68" s="15">
        <v>53.224800000000002</v>
      </c>
      <c r="W68" s="23">
        <v>45870</v>
      </c>
      <c r="X68" s="15">
        <v>461.00889999999998</v>
      </c>
      <c r="Y68" s="23">
        <v>45870</v>
      </c>
      <c r="Z68" s="15">
        <v>3238.1550999999999</v>
      </c>
      <c r="AA68" s="23">
        <v>45870</v>
      </c>
      <c r="AB68" s="15">
        <v>2100.9252999999999</v>
      </c>
      <c r="AC68" s="23">
        <v>45870</v>
      </c>
      <c r="AD68" s="15">
        <v>332.90789999999998</v>
      </c>
      <c r="AE68" s="23">
        <v>45870</v>
      </c>
      <c r="AF68" s="15">
        <v>1133.6388999999999</v>
      </c>
      <c r="AG68" s="23">
        <v>45870</v>
      </c>
      <c r="AH68" s="15">
        <v>1410.3641</v>
      </c>
    </row>
    <row r="69" spans="1:34">
      <c r="A69" s="23">
        <v>45877</v>
      </c>
      <c r="B69" s="15">
        <v>92.355999999999995</v>
      </c>
      <c r="C69" s="23">
        <v>45877</v>
      </c>
      <c r="D69" s="15">
        <v>791.02840000000003</v>
      </c>
      <c r="E69" s="23">
        <v>45872</v>
      </c>
      <c r="F69" s="15">
        <v>272.53789999999998</v>
      </c>
      <c r="G69" s="23">
        <v>45877</v>
      </c>
      <c r="H69" s="15">
        <v>436.99900000000002</v>
      </c>
      <c r="I69" s="23">
        <v>45877</v>
      </c>
      <c r="J69" s="15">
        <v>2183.8487</v>
      </c>
      <c r="K69" s="23">
        <v>45877</v>
      </c>
      <c r="L69" s="15">
        <v>1161.6971000000001</v>
      </c>
      <c r="M69" s="23">
        <v>45877</v>
      </c>
      <c r="N69" s="15">
        <v>266.7647</v>
      </c>
      <c r="O69" s="23">
        <v>45877</v>
      </c>
      <c r="P69" s="15">
        <v>72.248599999999996</v>
      </c>
      <c r="Q69" s="23">
        <v>45877</v>
      </c>
      <c r="R69" s="15">
        <v>684.87070000000006</v>
      </c>
      <c r="S69" s="23">
        <v>45877</v>
      </c>
      <c r="T69" s="15">
        <v>651.6404</v>
      </c>
      <c r="U69" s="23">
        <v>45877</v>
      </c>
      <c r="V69" s="15">
        <v>52.990900000000003</v>
      </c>
      <c r="W69" s="23">
        <v>45877</v>
      </c>
      <c r="X69" s="15">
        <v>457.93990000000002</v>
      </c>
      <c r="Y69" s="23">
        <v>45877</v>
      </c>
      <c r="Z69" s="15">
        <v>3240.0252999999998</v>
      </c>
      <c r="AA69" s="23">
        <v>45877</v>
      </c>
      <c r="AB69" s="15">
        <v>2136.8519000000001</v>
      </c>
      <c r="AC69" s="23">
        <v>45877</v>
      </c>
      <c r="AD69" s="15">
        <v>332.97199999999998</v>
      </c>
      <c r="AE69" s="23">
        <v>45877</v>
      </c>
      <c r="AF69" s="15">
        <v>1144.4013</v>
      </c>
      <c r="AG69" s="23">
        <v>45877</v>
      </c>
      <c r="AH69" s="15">
        <v>1415.5572999999999</v>
      </c>
    </row>
    <row r="70" spans="1:34">
      <c r="A70" s="24">
        <v>45884</v>
      </c>
      <c r="B70" s="15">
        <v>92.879300000000001</v>
      </c>
      <c r="C70" s="23">
        <v>45884</v>
      </c>
      <c r="D70" s="15">
        <v>792.52239999999995</v>
      </c>
      <c r="E70" s="23">
        <v>45879</v>
      </c>
      <c r="F70" s="15">
        <v>272.32130000000001</v>
      </c>
      <c r="G70" s="23">
        <v>45884</v>
      </c>
      <c r="H70" s="15">
        <v>436.37189999999998</v>
      </c>
      <c r="I70" s="23">
        <v>45884</v>
      </c>
      <c r="J70" s="15">
        <v>2183.4756000000002</v>
      </c>
      <c r="K70" s="23">
        <v>45884</v>
      </c>
      <c r="L70" s="15">
        <v>1161.8462999999999</v>
      </c>
      <c r="M70" s="23">
        <v>45884</v>
      </c>
      <c r="N70" s="15">
        <v>267.01979999999998</v>
      </c>
      <c r="O70" s="23">
        <v>45884</v>
      </c>
      <c r="P70" s="15">
        <v>69.863299999999995</v>
      </c>
      <c r="Q70" s="23">
        <v>45884</v>
      </c>
      <c r="R70" s="15">
        <v>685.31190000000004</v>
      </c>
      <c r="S70" s="23">
        <v>45884</v>
      </c>
      <c r="T70" s="15">
        <v>650.05539999999996</v>
      </c>
      <c r="U70" s="23">
        <v>45884</v>
      </c>
      <c r="V70" s="15">
        <v>52.985300000000002</v>
      </c>
      <c r="W70" s="23">
        <v>45884</v>
      </c>
      <c r="X70" s="15">
        <v>458.13200000000001</v>
      </c>
      <c r="Y70" s="23">
        <v>45884</v>
      </c>
      <c r="Z70" s="15">
        <v>3247.4553999999998</v>
      </c>
      <c r="AA70" s="23">
        <v>45884</v>
      </c>
      <c r="AB70" s="15">
        <v>2137.9962999999998</v>
      </c>
      <c r="AC70" s="23">
        <v>45884</v>
      </c>
      <c r="AD70" s="15">
        <v>332.97019999999998</v>
      </c>
      <c r="AE70" s="23">
        <v>45884</v>
      </c>
      <c r="AF70" s="15">
        <v>1149.0030999999999</v>
      </c>
      <c r="AG70" s="23">
        <v>45884</v>
      </c>
      <c r="AH70" s="15">
        <v>1412.9069999999999</v>
      </c>
    </row>
    <row r="71" spans="1:34">
      <c r="A71" s="23">
        <v>45891</v>
      </c>
      <c r="B71" s="15">
        <v>93.102599999999995</v>
      </c>
      <c r="C71" s="23">
        <v>45891</v>
      </c>
      <c r="D71" s="15">
        <v>791.79139999999995</v>
      </c>
      <c r="E71" s="23">
        <v>45886</v>
      </c>
      <c r="F71" s="15">
        <v>271.72109999999998</v>
      </c>
      <c r="G71" s="23">
        <v>45891</v>
      </c>
      <c r="H71" s="15">
        <v>422.93560000000002</v>
      </c>
      <c r="I71" s="23">
        <v>45891</v>
      </c>
      <c r="J71" s="15">
        <v>2183.5165999999999</v>
      </c>
      <c r="K71" s="23">
        <v>45891</v>
      </c>
      <c r="L71" s="15">
        <v>1163.2419</v>
      </c>
      <c r="M71" s="23">
        <v>45891</v>
      </c>
      <c r="N71" s="15">
        <v>266.99299999999999</v>
      </c>
      <c r="O71" s="23">
        <v>45891</v>
      </c>
      <c r="P71" s="15">
        <v>71.713800000000006</v>
      </c>
      <c r="Q71" s="23">
        <v>45891</v>
      </c>
      <c r="R71" s="15">
        <v>683.32420000000002</v>
      </c>
      <c r="S71" s="23">
        <v>45891</v>
      </c>
      <c r="T71" s="15">
        <v>650.21429999999998</v>
      </c>
      <c r="U71" s="23">
        <v>45891</v>
      </c>
      <c r="V71" s="15">
        <v>52.816800000000001</v>
      </c>
      <c r="W71" s="23">
        <v>45891</v>
      </c>
      <c r="X71" s="15">
        <v>457.70979999999997</v>
      </c>
      <c r="Y71" s="23">
        <v>45891</v>
      </c>
      <c r="Z71" s="15">
        <v>3240.2112999999999</v>
      </c>
      <c r="AA71" s="23">
        <v>45891</v>
      </c>
      <c r="AB71" s="15">
        <v>2113.6073999999999</v>
      </c>
      <c r="AC71" s="23">
        <v>45891</v>
      </c>
      <c r="AD71" s="15">
        <v>333.012</v>
      </c>
      <c r="AE71" s="23">
        <v>45891</v>
      </c>
      <c r="AF71" s="15">
        <v>1149.8724999999999</v>
      </c>
      <c r="AG71" s="23">
        <v>45891</v>
      </c>
      <c r="AH71" s="15">
        <v>1410.1204</v>
      </c>
    </row>
    <row r="72" spans="1:34">
      <c r="A72" s="24">
        <v>45898</v>
      </c>
      <c r="B72" s="15">
        <v>94.2517</v>
      </c>
      <c r="C72" s="23">
        <v>45898</v>
      </c>
      <c r="D72" s="15">
        <v>810.15930000000003</v>
      </c>
      <c r="E72" s="23">
        <v>45893</v>
      </c>
      <c r="F72" s="15">
        <v>271.11829999999998</v>
      </c>
      <c r="G72" s="23">
        <v>45898</v>
      </c>
      <c r="H72" s="15">
        <v>422.16550000000001</v>
      </c>
      <c r="I72" s="23">
        <v>45898</v>
      </c>
      <c r="J72" s="15">
        <v>2122.7406000000001</v>
      </c>
      <c r="K72" s="23">
        <v>45898</v>
      </c>
      <c r="L72" s="15">
        <v>1162.6032</v>
      </c>
      <c r="M72" s="23">
        <v>45898</v>
      </c>
      <c r="N72" s="15">
        <v>266.57600000000002</v>
      </c>
      <c r="O72" s="23">
        <v>45898</v>
      </c>
      <c r="P72" s="15">
        <v>70.59</v>
      </c>
      <c r="Q72" s="23">
        <v>45898</v>
      </c>
      <c r="R72" s="15">
        <v>681.4443</v>
      </c>
      <c r="S72" s="23">
        <v>45898</v>
      </c>
      <c r="T72" s="15">
        <v>649.93330000000003</v>
      </c>
      <c r="U72" s="23">
        <v>45898</v>
      </c>
      <c r="V72" s="15">
        <v>52.7575</v>
      </c>
      <c r="W72" s="23">
        <v>45898</v>
      </c>
      <c r="X72" s="15">
        <v>456.50990000000002</v>
      </c>
      <c r="Y72" s="23">
        <v>45898</v>
      </c>
      <c r="Z72" s="15">
        <v>3234.7775999999999</v>
      </c>
      <c r="AA72" s="23">
        <v>45898</v>
      </c>
      <c r="AB72" s="15">
        <v>2112.8089</v>
      </c>
      <c r="AC72" s="23">
        <v>45898</v>
      </c>
      <c r="AD72" s="15">
        <v>332.80110000000002</v>
      </c>
      <c r="AE72" s="23">
        <v>45898</v>
      </c>
      <c r="AF72" s="15">
        <v>1153.3407999999999</v>
      </c>
      <c r="AG72" s="23">
        <v>45898</v>
      </c>
      <c r="AH72" s="15">
        <v>1411.6813</v>
      </c>
    </row>
    <row r="73" spans="1:34">
      <c r="A73" s="23">
        <v>45905</v>
      </c>
      <c r="B73" s="15">
        <v>94.313400000000001</v>
      </c>
      <c r="C73" s="23">
        <v>45905</v>
      </c>
      <c r="D73" s="15">
        <v>807.75990000000002</v>
      </c>
      <c r="E73" s="23">
        <v>45900</v>
      </c>
      <c r="F73" s="15">
        <v>270.86290000000002</v>
      </c>
      <c r="G73" s="23">
        <v>45905</v>
      </c>
      <c r="H73" s="15">
        <v>420.7047</v>
      </c>
      <c r="I73" s="23">
        <v>45905</v>
      </c>
      <c r="J73" s="15">
        <v>2090.9982</v>
      </c>
      <c r="K73" s="23">
        <v>45905</v>
      </c>
      <c r="L73" s="15">
        <v>1159.9739999999999</v>
      </c>
      <c r="M73" s="23">
        <v>45905</v>
      </c>
      <c r="N73" s="15">
        <v>266.24959999999999</v>
      </c>
      <c r="O73" s="23">
        <v>45905</v>
      </c>
      <c r="P73" s="15">
        <v>70.468500000000006</v>
      </c>
      <c r="Q73" s="23">
        <v>45905</v>
      </c>
      <c r="R73" s="15">
        <v>683.66899999999998</v>
      </c>
      <c r="S73" s="23">
        <v>45905</v>
      </c>
      <c r="T73" s="15">
        <v>650.56820000000005</v>
      </c>
      <c r="U73" s="23">
        <v>45905</v>
      </c>
      <c r="V73" s="15">
        <v>52.819000000000003</v>
      </c>
      <c r="W73" s="23">
        <v>45905</v>
      </c>
      <c r="X73" s="15">
        <v>454.5763</v>
      </c>
      <c r="Y73" s="23">
        <v>45905</v>
      </c>
      <c r="Z73" s="15">
        <v>3234.9185000000002</v>
      </c>
      <c r="AA73" s="23">
        <v>45905</v>
      </c>
      <c r="AB73" s="15">
        <v>2115.6370999999999</v>
      </c>
      <c r="AC73" s="23">
        <v>45905</v>
      </c>
      <c r="AD73" s="15">
        <v>332.9751</v>
      </c>
      <c r="AE73" s="23">
        <v>45905</v>
      </c>
      <c r="AF73" s="15">
        <v>1165.3418999999999</v>
      </c>
      <c r="AG73" s="23">
        <v>45905</v>
      </c>
      <c r="AH73" s="15">
        <v>1411.1174000000001</v>
      </c>
    </row>
    <row r="74" spans="1:34">
      <c r="A74" s="24">
        <v>45912</v>
      </c>
      <c r="B74" s="15">
        <v>94.526700000000005</v>
      </c>
      <c r="C74" s="23">
        <v>45912</v>
      </c>
      <c r="D74" s="15">
        <v>807.48509999999999</v>
      </c>
      <c r="E74" s="23">
        <v>45907</v>
      </c>
      <c r="F74" s="15">
        <v>270.34660000000002</v>
      </c>
      <c r="G74" s="23">
        <v>45912</v>
      </c>
      <c r="H74" s="15">
        <v>419.16219999999998</v>
      </c>
      <c r="I74" s="23">
        <v>45912</v>
      </c>
      <c r="J74" s="15">
        <v>2056.0344</v>
      </c>
      <c r="K74" s="23">
        <v>45912</v>
      </c>
      <c r="L74" s="15">
        <v>1160.6095</v>
      </c>
      <c r="M74" s="23">
        <v>45912</v>
      </c>
      <c r="N74" s="15">
        <v>266.21359999999999</v>
      </c>
      <c r="O74" s="23">
        <v>45912</v>
      </c>
      <c r="P74" s="15">
        <v>69.359300000000005</v>
      </c>
      <c r="Q74" s="23">
        <v>45912</v>
      </c>
      <c r="R74" s="15">
        <v>682.00260000000003</v>
      </c>
      <c r="S74" s="23">
        <v>45912</v>
      </c>
      <c r="T74" s="15">
        <v>648.57240000000002</v>
      </c>
      <c r="U74" s="23">
        <v>45912</v>
      </c>
      <c r="V74" s="15">
        <v>52.801200000000001</v>
      </c>
      <c r="W74" s="23">
        <v>45912</v>
      </c>
      <c r="X74" s="15">
        <v>452.0797</v>
      </c>
      <c r="Y74" s="23">
        <v>45912</v>
      </c>
      <c r="Z74" s="15">
        <v>3256.6541999999999</v>
      </c>
      <c r="AA74" s="23">
        <v>45912</v>
      </c>
      <c r="AB74" s="15">
        <v>2112.1084000000001</v>
      </c>
      <c r="AC74" s="23">
        <v>45912</v>
      </c>
      <c r="AD74" s="15">
        <v>332.9479</v>
      </c>
      <c r="AE74" s="23">
        <v>45912</v>
      </c>
      <c r="AF74" s="15">
        <v>1158.548</v>
      </c>
      <c r="AG74" s="23">
        <v>45912</v>
      </c>
      <c r="AH74" s="15">
        <v>1410.6247000000001</v>
      </c>
    </row>
    <row r="75" spans="1:34">
      <c r="A75" s="23">
        <v>45919</v>
      </c>
      <c r="B75" s="15">
        <v>94.429599999999994</v>
      </c>
      <c r="C75" s="23">
        <v>45919</v>
      </c>
      <c r="D75" s="15">
        <v>808.53790000000004</v>
      </c>
      <c r="E75" s="23">
        <v>45914</v>
      </c>
      <c r="F75" s="15">
        <v>269.95190000000002</v>
      </c>
      <c r="G75" s="23">
        <v>45919</v>
      </c>
      <c r="H75" s="15">
        <v>418.41629999999998</v>
      </c>
      <c r="I75" s="23">
        <v>45919</v>
      </c>
      <c r="J75" s="15">
        <v>2059.1590999999999</v>
      </c>
      <c r="K75" s="23">
        <v>45919</v>
      </c>
      <c r="L75" s="15">
        <v>1160.1035999999999</v>
      </c>
      <c r="M75" s="23">
        <v>45919</v>
      </c>
      <c r="N75" s="15">
        <v>266.37479999999999</v>
      </c>
      <c r="O75" s="23">
        <v>45919</v>
      </c>
      <c r="P75" s="15">
        <v>69.082700000000003</v>
      </c>
      <c r="Q75" s="23">
        <v>45919</v>
      </c>
      <c r="R75" s="15">
        <v>682.19280000000003</v>
      </c>
      <c r="S75" s="23">
        <v>45919</v>
      </c>
      <c r="T75" s="15">
        <v>648.97550000000001</v>
      </c>
      <c r="U75" s="23">
        <v>45919</v>
      </c>
      <c r="V75" s="15">
        <v>52.546799999999998</v>
      </c>
      <c r="W75" s="23">
        <v>45919</v>
      </c>
      <c r="X75" s="15">
        <v>450.82229999999998</v>
      </c>
      <c r="Y75" s="23">
        <v>45919</v>
      </c>
      <c r="Z75" s="15">
        <v>3217.6343000000002</v>
      </c>
      <c r="AA75" s="23">
        <v>45919</v>
      </c>
      <c r="AB75" s="15">
        <v>2108.0938999999998</v>
      </c>
      <c r="AC75" s="23">
        <v>45919</v>
      </c>
      <c r="AD75" s="15">
        <v>332.48039999999997</v>
      </c>
      <c r="AE75" s="23">
        <v>45919</v>
      </c>
      <c r="AF75" s="15">
        <v>1154.7938999999999</v>
      </c>
      <c r="AG75" s="23">
        <v>45919</v>
      </c>
      <c r="AH75" s="15">
        <v>1409.415</v>
      </c>
    </row>
    <row r="76" spans="1:34">
      <c r="A76" s="24">
        <v>45926</v>
      </c>
      <c r="B76" s="15">
        <v>95.223500000000001</v>
      </c>
      <c r="C76" s="23">
        <v>45926</v>
      </c>
      <c r="D76" s="15">
        <v>809.11689999999999</v>
      </c>
      <c r="E76" s="23">
        <v>45921</v>
      </c>
      <c r="F76" s="15">
        <v>270.6687</v>
      </c>
      <c r="G76" s="23">
        <v>45926</v>
      </c>
      <c r="H76" s="15">
        <v>416.03120000000001</v>
      </c>
      <c r="I76" s="23">
        <v>45926</v>
      </c>
      <c r="J76" s="15">
        <v>2056.2460999999998</v>
      </c>
      <c r="K76" s="23">
        <v>45926</v>
      </c>
      <c r="L76" s="15">
        <v>1134.0433</v>
      </c>
      <c r="M76" s="23">
        <v>45926</v>
      </c>
      <c r="N76" s="15">
        <v>265.94299999999998</v>
      </c>
      <c r="O76" s="23">
        <v>45926</v>
      </c>
      <c r="P76" s="15">
        <v>68.498400000000004</v>
      </c>
      <c r="Q76" s="23">
        <v>45926</v>
      </c>
      <c r="R76" s="15">
        <v>688.33630000000005</v>
      </c>
      <c r="S76" s="23">
        <v>45926</v>
      </c>
      <c r="T76" s="15">
        <v>653.4529</v>
      </c>
      <c r="U76" s="23">
        <v>45926</v>
      </c>
      <c r="V76" s="15">
        <v>53.796100000000003</v>
      </c>
      <c r="W76" s="23">
        <v>45926</v>
      </c>
      <c r="X76" s="15">
        <v>453.11380000000003</v>
      </c>
      <c r="Y76" s="23">
        <v>45926</v>
      </c>
      <c r="Z76" s="15">
        <v>3191.7314999999999</v>
      </c>
      <c r="AA76" s="23">
        <v>45926</v>
      </c>
      <c r="AB76" s="15">
        <v>2129.7932999999998</v>
      </c>
      <c r="AC76" s="23">
        <v>45926</v>
      </c>
      <c r="AD76" s="15">
        <v>328.98289999999997</v>
      </c>
      <c r="AE76" s="23">
        <v>45926</v>
      </c>
      <c r="AF76" s="15">
        <v>1155.9384</v>
      </c>
      <c r="AG76" s="23">
        <v>45926</v>
      </c>
      <c r="AH76" s="15">
        <v>1382.0806</v>
      </c>
    </row>
    <row r="77" spans="1:34">
      <c r="A77" s="23">
        <v>45933</v>
      </c>
      <c r="B77" s="15">
        <v>95.495099999999994</v>
      </c>
      <c r="C77" s="23">
        <v>45933</v>
      </c>
      <c r="D77" s="15">
        <v>807.6798</v>
      </c>
      <c r="E77" s="23">
        <v>45928</v>
      </c>
      <c r="F77" s="15">
        <v>271.39</v>
      </c>
      <c r="G77" s="23">
        <v>45933</v>
      </c>
      <c r="H77" s="15">
        <v>415.30540000000002</v>
      </c>
      <c r="I77" s="23">
        <v>45933</v>
      </c>
      <c r="J77" s="15">
        <v>2058.8238999999999</v>
      </c>
      <c r="K77" s="23">
        <v>45933</v>
      </c>
      <c r="L77" s="15">
        <v>1135.0690999999999</v>
      </c>
      <c r="M77" s="23">
        <v>45933</v>
      </c>
      <c r="N77" s="15">
        <v>265.92680000000001</v>
      </c>
      <c r="O77" s="23">
        <v>45933</v>
      </c>
      <c r="P77" s="15">
        <v>68.197199999999995</v>
      </c>
      <c r="Q77" s="23">
        <v>45933</v>
      </c>
      <c r="R77" s="15">
        <v>686.77790000000005</v>
      </c>
      <c r="S77" s="23">
        <v>45933</v>
      </c>
      <c r="T77" s="15">
        <v>653.38229999999999</v>
      </c>
      <c r="U77" s="23">
        <v>45933</v>
      </c>
      <c r="V77" s="15">
        <v>53.887</v>
      </c>
      <c r="W77" s="23">
        <v>45933</v>
      </c>
      <c r="X77" s="15">
        <v>451.90129999999999</v>
      </c>
      <c r="Y77" s="23">
        <v>45933</v>
      </c>
      <c r="Z77" s="15">
        <v>3173.9346999999998</v>
      </c>
      <c r="AA77" s="23">
        <v>45933</v>
      </c>
      <c r="AB77" s="15">
        <v>2129.5816</v>
      </c>
      <c r="AC77" s="23">
        <v>45933</v>
      </c>
      <c r="AD77" s="15">
        <v>329.07569999999998</v>
      </c>
      <c r="AE77" s="23">
        <v>45933</v>
      </c>
      <c r="AF77" s="15">
        <v>1156.4478999999999</v>
      </c>
      <c r="AG77" s="23">
        <v>45933</v>
      </c>
      <c r="AH77" s="15">
        <v>1380.4204</v>
      </c>
    </row>
    <row r="78" spans="1:34">
      <c r="A78" s="24">
        <v>45940</v>
      </c>
      <c r="B78" s="15">
        <v>95.491399999999999</v>
      </c>
      <c r="C78" s="23">
        <v>45940</v>
      </c>
      <c r="D78" s="15">
        <v>807.97469999999998</v>
      </c>
      <c r="E78" s="23">
        <v>45935</v>
      </c>
      <c r="F78" s="15">
        <v>271.80239999999998</v>
      </c>
      <c r="G78" s="23">
        <v>45940</v>
      </c>
      <c r="H78" s="15">
        <v>418.7097</v>
      </c>
      <c r="I78" s="23">
        <v>45940</v>
      </c>
      <c r="J78" s="15">
        <v>2052.5295999999998</v>
      </c>
      <c r="K78" s="23">
        <v>45940</v>
      </c>
      <c r="L78" s="15">
        <v>1135.3559</v>
      </c>
      <c r="M78" s="23">
        <v>45940</v>
      </c>
      <c r="N78" s="15">
        <v>265.95190000000002</v>
      </c>
      <c r="O78" s="23">
        <v>45940</v>
      </c>
      <c r="P78" s="15">
        <v>67.187899999999999</v>
      </c>
      <c r="Q78" s="23">
        <v>45940</v>
      </c>
      <c r="R78" s="15">
        <v>689.21400000000006</v>
      </c>
      <c r="S78" s="23">
        <v>45940</v>
      </c>
      <c r="T78" s="15">
        <v>658.48069999999996</v>
      </c>
      <c r="U78" s="23">
        <v>45940</v>
      </c>
      <c r="V78" s="15">
        <v>53.941299999999998</v>
      </c>
      <c r="W78" s="23">
        <v>45940</v>
      </c>
      <c r="X78" s="15">
        <v>449.92939999999999</v>
      </c>
      <c r="Y78" s="23">
        <v>45940</v>
      </c>
      <c r="Z78" s="15">
        <v>3174.6149999999998</v>
      </c>
      <c r="AA78" s="23">
        <v>45940</v>
      </c>
      <c r="AB78" s="15">
        <v>2018.1020000000001</v>
      </c>
      <c r="AC78" s="23">
        <v>45940</v>
      </c>
      <c r="AD78" s="15">
        <v>328.71530000000001</v>
      </c>
      <c r="AE78" s="23">
        <v>45940</v>
      </c>
      <c r="AF78" s="15">
        <v>1153.1498999999999</v>
      </c>
      <c r="AG78" s="23">
        <v>45940</v>
      </c>
      <c r="AH78" s="15">
        <v>1375.6142</v>
      </c>
    </row>
    <row r="79" spans="1:34">
      <c r="A79" s="23">
        <v>45947</v>
      </c>
      <c r="B79" s="15">
        <v>95.4041</v>
      </c>
      <c r="C79" s="23">
        <v>45947</v>
      </c>
      <c r="D79" s="15">
        <v>808.02319999999997</v>
      </c>
      <c r="E79" s="23">
        <v>45942</v>
      </c>
      <c r="F79" s="15">
        <v>271.7054</v>
      </c>
      <c r="G79" s="23">
        <v>45947</v>
      </c>
      <c r="H79" s="15">
        <v>419.65949999999998</v>
      </c>
      <c r="I79" s="23">
        <v>45947</v>
      </c>
      <c r="J79" s="15">
        <v>2050.0545000000002</v>
      </c>
      <c r="K79" s="23">
        <v>45947</v>
      </c>
      <c r="L79" s="15">
        <v>1135.5478000000001</v>
      </c>
      <c r="M79" s="23">
        <v>45947</v>
      </c>
      <c r="N79" s="15">
        <v>266.19229999999999</v>
      </c>
      <c r="O79" s="23">
        <v>45947</v>
      </c>
      <c r="P79" s="15">
        <v>67.223500000000001</v>
      </c>
      <c r="Q79" s="23">
        <v>45947</v>
      </c>
      <c r="R79" s="15">
        <v>686.86170000000004</v>
      </c>
      <c r="S79" s="23">
        <v>45947</v>
      </c>
      <c r="T79" s="15">
        <v>657.87</v>
      </c>
      <c r="U79" s="23">
        <v>45947</v>
      </c>
      <c r="V79" s="15">
        <v>54.019500000000001</v>
      </c>
      <c r="W79" s="23">
        <v>45947</v>
      </c>
      <c r="X79" s="15">
        <v>450.82639999999998</v>
      </c>
      <c r="Y79" s="23">
        <v>45947</v>
      </c>
      <c r="Z79" s="15">
        <v>3173.1257999999998</v>
      </c>
      <c r="AA79" s="23">
        <v>45947</v>
      </c>
      <c r="AB79" s="15">
        <v>2021.5595000000001</v>
      </c>
      <c r="AC79" s="23">
        <v>45947</v>
      </c>
      <c r="AD79" s="15">
        <v>328.9502</v>
      </c>
      <c r="AE79" s="23">
        <v>45947</v>
      </c>
      <c r="AF79" s="15">
        <v>1152.1374000000001</v>
      </c>
      <c r="AG79" s="23">
        <v>45947</v>
      </c>
      <c r="AH79" s="15">
        <v>1373.2292</v>
      </c>
    </row>
    <row r="80" spans="1:34">
      <c r="A80" s="24">
        <v>45954</v>
      </c>
      <c r="B80" s="15">
        <v>95.444800000000001</v>
      </c>
      <c r="C80" s="23">
        <v>45954</v>
      </c>
      <c r="D80" s="15">
        <v>805.3723</v>
      </c>
      <c r="E80" s="23">
        <v>45949</v>
      </c>
      <c r="F80" s="15">
        <v>272.43279999999999</v>
      </c>
      <c r="G80" s="23">
        <v>45954</v>
      </c>
      <c r="H80" s="15">
        <v>420.25170000000003</v>
      </c>
      <c r="I80" s="23">
        <v>45954</v>
      </c>
      <c r="J80" s="15">
        <v>2052.9506999999999</v>
      </c>
      <c r="K80" s="23">
        <v>45954</v>
      </c>
      <c r="L80" s="15">
        <v>1139.6629</v>
      </c>
      <c r="M80" s="23">
        <v>45954</v>
      </c>
      <c r="N80" s="15">
        <v>266.07870000000003</v>
      </c>
      <c r="O80" s="23">
        <v>45954</v>
      </c>
      <c r="P80" s="15">
        <v>67.563599999999994</v>
      </c>
      <c r="Q80" s="23">
        <v>45954</v>
      </c>
      <c r="R80" s="15">
        <v>687.8836</v>
      </c>
      <c r="S80" s="23">
        <v>45954</v>
      </c>
      <c r="T80" s="15">
        <v>660.90869999999995</v>
      </c>
      <c r="U80" s="23">
        <v>45954</v>
      </c>
      <c r="V80" s="15">
        <v>54.116</v>
      </c>
      <c r="W80" s="23">
        <v>45954</v>
      </c>
      <c r="X80" s="15">
        <v>455.01850000000002</v>
      </c>
      <c r="Y80" s="23">
        <v>45954</v>
      </c>
      <c r="Z80" s="15">
        <v>3179.5630999999998</v>
      </c>
      <c r="AA80" s="23">
        <v>45954</v>
      </c>
      <c r="AB80" s="15">
        <v>2019.9793</v>
      </c>
      <c r="AC80" s="23">
        <v>45954</v>
      </c>
      <c r="AD80" s="15">
        <v>328.95569999999998</v>
      </c>
      <c r="AE80" s="23">
        <v>45954</v>
      </c>
      <c r="AF80" s="15">
        <v>1155.2614000000001</v>
      </c>
      <c r="AG80" s="23">
        <v>45954</v>
      </c>
      <c r="AH80" s="15">
        <v>1370.8026</v>
      </c>
    </row>
    <row r="81" spans="1:34">
      <c r="A81" s="23">
        <v>45961</v>
      </c>
      <c r="B81" s="15">
        <v>95.349699999999999</v>
      </c>
      <c r="C81" s="23">
        <v>45961</v>
      </c>
      <c r="D81" s="15">
        <v>807.8596</v>
      </c>
      <c r="E81" s="23">
        <v>45956</v>
      </c>
      <c r="F81" s="15">
        <v>274.38229999999999</v>
      </c>
      <c r="G81" s="23">
        <v>45961</v>
      </c>
      <c r="H81" s="15">
        <v>420.5197</v>
      </c>
      <c r="I81" s="23">
        <v>45961</v>
      </c>
      <c r="J81" s="15">
        <v>2055.9005999999999</v>
      </c>
      <c r="K81" s="23">
        <v>45961</v>
      </c>
      <c r="L81" s="15">
        <v>1143.5165</v>
      </c>
      <c r="M81" s="23">
        <v>45961</v>
      </c>
      <c r="N81" s="15">
        <v>265.84050000000002</v>
      </c>
      <c r="O81" s="23">
        <v>45961</v>
      </c>
      <c r="P81" s="15">
        <v>67.839699999999993</v>
      </c>
      <c r="Q81" s="23">
        <v>45961</v>
      </c>
      <c r="R81" s="15">
        <v>690.53160000000003</v>
      </c>
      <c r="S81" s="23">
        <v>45961</v>
      </c>
      <c r="T81" s="15">
        <v>665.60509999999999</v>
      </c>
      <c r="U81" s="23">
        <v>45961</v>
      </c>
      <c r="V81" s="15">
        <v>54.177599999999998</v>
      </c>
      <c r="W81" s="23">
        <v>45961</v>
      </c>
      <c r="X81" s="15">
        <v>457.1311</v>
      </c>
      <c r="Y81" s="23">
        <v>45961</v>
      </c>
      <c r="Z81" s="15">
        <v>3195.4503</v>
      </c>
      <c r="AA81" s="23">
        <v>45961</v>
      </c>
      <c r="AB81" s="15">
        <v>2034.0055</v>
      </c>
      <c r="AC81" s="23">
        <v>45961</v>
      </c>
      <c r="AD81" s="15">
        <v>329.84249999999997</v>
      </c>
      <c r="AE81" s="23">
        <v>45961</v>
      </c>
      <c r="AF81" s="15">
        <v>1165.8101999999999</v>
      </c>
      <c r="AG81" s="23">
        <v>45961</v>
      </c>
      <c r="AH81" s="15">
        <v>1372.2184</v>
      </c>
    </row>
    <row r="82" spans="1:34">
      <c r="A82" s="24">
        <v>45968</v>
      </c>
      <c r="B82" s="15">
        <v>95.653700000000001</v>
      </c>
      <c r="C82" s="23">
        <v>45968</v>
      </c>
      <c r="D82" s="15">
        <v>807.55219999999997</v>
      </c>
      <c r="E82" s="23">
        <v>45963</v>
      </c>
      <c r="F82" s="15">
        <v>282.4907</v>
      </c>
      <c r="G82" s="23">
        <v>45968</v>
      </c>
      <c r="H82" s="15">
        <v>420.66500000000002</v>
      </c>
      <c r="I82" s="23">
        <v>45968</v>
      </c>
      <c r="J82" s="15">
        <v>2061.7460999999998</v>
      </c>
      <c r="K82" s="23">
        <v>45968</v>
      </c>
      <c r="L82" s="15">
        <v>1141.6669999999999</v>
      </c>
      <c r="M82" s="23">
        <v>45968</v>
      </c>
      <c r="N82" s="15">
        <v>266.25830000000002</v>
      </c>
      <c r="O82" s="23">
        <v>45968</v>
      </c>
      <c r="P82" s="15">
        <v>66.617800000000003</v>
      </c>
      <c r="Q82" s="23">
        <v>45968</v>
      </c>
      <c r="R82" s="15">
        <v>693.62990000000002</v>
      </c>
      <c r="S82" s="23">
        <v>45968</v>
      </c>
      <c r="T82" s="15">
        <v>668.29629999999997</v>
      </c>
      <c r="U82" s="23">
        <v>45968</v>
      </c>
      <c r="V82" s="15">
        <v>54.426299999999998</v>
      </c>
      <c r="W82" s="23">
        <v>45968</v>
      </c>
      <c r="X82" s="15">
        <v>457.22300000000001</v>
      </c>
      <c r="Y82" s="23">
        <v>45968</v>
      </c>
      <c r="Z82" s="15">
        <v>3195.5403999999999</v>
      </c>
      <c r="AA82" s="23">
        <v>45968</v>
      </c>
      <c r="AB82" s="15">
        <v>2028.7071000000001</v>
      </c>
      <c r="AC82" s="23">
        <v>45968</v>
      </c>
      <c r="AD82" s="15">
        <v>330.05829999999997</v>
      </c>
      <c r="AE82" s="23">
        <v>45968</v>
      </c>
      <c r="AF82" s="15">
        <v>1161.5929000000001</v>
      </c>
      <c r="AG82" s="23">
        <v>45968</v>
      </c>
      <c r="AH82" s="15">
        <v>1365.0927999999999</v>
      </c>
    </row>
    <row r="83" spans="1:34">
      <c r="A83" s="23">
        <v>45975</v>
      </c>
      <c r="B83" s="15">
        <v>96.241399999999999</v>
      </c>
      <c r="C83" s="23">
        <v>45975</v>
      </c>
      <c r="D83" s="15">
        <v>811.85599999999999</v>
      </c>
      <c r="E83" s="23">
        <v>45970</v>
      </c>
      <c r="F83" s="15">
        <v>283.30500000000001</v>
      </c>
      <c r="G83" s="23">
        <v>45975</v>
      </c>
      <c r="H83" s="15">
        <v>421.4941</v>
      </c>
      <c r="I83" s="23">
        <v>45975</v>
      </c>
      <c r="J83" s="15">
        <v>2066.3987000000002</v>
      </c>
      <c r="K83" s="23">
        <v>45975</v>
      </c>
      <c r="L83" s="15">
        <v>1140.2086999999999</v>
      </c>
      <c r="M83" s="23">
        <v>45975</v>
      </c>
      <c r="N83" s="15">
        <v>266.80489999999998</v>
      </c>
      <c r="O83" s="23">
        <v>45975</v>
      </c>
      <c r="P83" s="15">
        <v>62.601199999999999</v>
      </c>
      <c r="Q83" s="23">
        <v>45975</v>
      </c>
      <c r="R83" s="15">
        <v>688.90740000000005</v>
      </c>
      <c r="S83" s="23">
        <v>45975</v>
      </c>
      <c r="T83" s="15">
        <v>670.2876</v>
      </c>
      <c r="U83" s="23">
        <v>45975</v>
      </c>
      <c r="V83" s="15">
        <v>54.3782</v>
      </c>
      <c r="W83" s="23">
        <v>45975</v>
      </c>
      <c r="X83" s="15">
        <v>457.05720000000002</v>
      </c>
      <c r="Y83" s="23">
        <v>45975</v>
      </c>
      <c r="Z83" s="15">
        <v>3199.7084</v>
      </c>
      <c r="AA83" s="23">
        <v>45975</v>
      </c>
      <c r="AB83" s="15">
        <v>2035.8702000000001</v>
      </c>
      <c r="AC83" s="23">
        <v>45975</v>
      </c>
      <c r="AD83" s="15">
        <v>329.55680000000001</v>
      </c>
      <c r="AE83" s="23">
        <v>45975</v>
      </c>
      <c r="AF83" s="15">
        <v>1163.1502</v>
      </c>
      <c r="AG83" s="23">
        <v>45975</v>
      </c>
      <c r="AH83" s="15">
        <v>1360.2471</v>
      </c>
    </row>
    <row r="84" spans="1:34">
      <c r="A84" s="24">
        <v>45982</v>
      </c>
      <c r="B84" s="15">
        <v>96.314800000000005</v>
      </c>
      <c r="C84" s="23">
        <v>45982</v>
      </c>
      <c r="D84" s="15">
        <v>814.09040000000005</v>
      </c>
      <c r="E84" s="23">
        <v>45977</v>
      </c>
      <c r="F84" s="15">
        <v>285.95679999999999</v>
      </c>
      <c r="G84" s="23">
        <v>45982</v>
      </c>
      <c r="H84" s="15">
        <v>423.08150000000001</v>
      </c>
      <c r="I84" s="23">
        <v>45982</v>
      </c>
      <c r="J84" s="15">
        <v>2074.3415</v>
      </c>
      <c r="K84" s="23">
        <v>45982</v>
      </c>
      <c r="L84" s="15">
        <v>1140.6001000000001</v>
      </c>
      <c r="M84" s="23">
        <v>45982</v>
      </c>
      <c r="N84" s="15">
        <v>267.2851</v>
      </c>
      <c r="O84" s="23">
        <v>45982</v>
      </c>
      <c r="P84" s="15">
        <v>62.340600000000002</v>
      </c>
      <c r="Q84" s="23">
        <v>45982</v>
      </c>
      <c r="R84" s="15">
        <v>694.89290000000005</v>
      </c>
      <c r="S84" s="23">
        <v>45982</v>
      </c>
      <c r="T84" s="15">
        <v>670.87099999999998</v>
      </c>
      <c r="U84" s="23">
        <v>45982</v>
      </c>
      <c r="V84" s="15">
        <v>54.762</v>
      </c>
      <c r="W84" s="23">
        <v>45982</v>
      </c>
      <c r="X84" s="15">
        <v>457.83890000000002</v>
      </c>
      <c r="Y84" s="23">
        <v>45982</v>
      </c>
      <c r="Z84" s="15">
        <v>3200.7530999999999</v>
      </c>
      <c r="AA84" s="23">
        <v>45982</v>
      </c>
      <c r="AB84" s="15">
        <v>2034.5624</v>
      </c>
      <c r="AC84" s="23">
        <v>45982</v>
      </c>
      <c r="AD84" s="15">
        <v>330.32240000000002</v>
      </c>
      <c r="AE84" s="23">
        <v>45982</v>
      </c>
      <c r="AF84" s="15">
        <v>1161.8669</v>
      </c>
      <c r="AG84" s="23">
        <v>45982</v>
      </c>
      <c r="AH84" s="15">
        <v>1361.6780000000001</v>
      </c>
    </row>
    <row r="85" spans="1:34">
      <c r="A85" s="23">
        <v>45989</v>
      </c>
      <c r="B85" s="15">
        <v>96.355999999999995</v>
      </c>
      <c r="C85" s="23">
        <v>45989</v>
      </c>
      <c r="D85" s="15">
        <v>813.03009999999995</v>
      </c>
      <c r="E85" s="23">
        <v>45984</v>
      </c>
      <c r="F85" s="15">
        <v>285.37639999999999</v>
      </c>
      <c r="G85" s="23">
        <v>45989</v>
      </c>
      <c r="H85" s="15">
        <v>422.59089999999998</v>
      </c>
      <c r="I85" s="23">
        <v>45989</v>
      </c>
      <c r="J85" s="15">
        <v>2077.8434000000002</v>
      </c>
      <c r="K85" s="23">
        <v>45989</v>
      </c>
      <c r="L85" s="15">
        <v>1144.7945</v>
      </c>
      <c r="M85" s="23">
        <v>45989</v>
      </c>
      <c r="N85" s="15">
        <v>267.036</v>
      </c>
      <c r="O85" s="23">
        <v>45989</v>
      </c>
      <c r="P85" s="15">
        <v>62.216500000000003</v>
      </c>
      <c r="Q85" s="23">
        <v>45989</v>
      </c>
      <c r="R85" s="15">
        <v>693.01620000000003</v>
      </c>
      <c r="S85" s="23">
        <v>45989</v>
      </c>
      <c r="T85" s="15">
        <v>668.11149999999998</v>
      </c>
      <c r="U85" s="23">
        <v>45989</v>
      </c>
      <c r="V85" s="15">
        <v>54.567500000000003</v>
      </c>
      <c r="W85" s="23">
        <v>45989</v>
      </c>
      <c r="X85" s="15">
        <v>459.9126</v>
      </c>
      <c r="Y85" s="23">
        <v>45989</v>
      </c>
      <c r="Z85" s="15">
        <v>3209.9450999999999</v>
      </c>
      <c r="AA85" s="23">
        <v>45989</v>
      </c>
      <c r="AB85" s="15">
        <v>2444.5544</v>
      </c>
      <c r="AC85" s="23">
        <v>45989</v>
      </c>
      <c r="AD85" s="15">
        <v>330.29140000000001</v>
      </c>
      <c r="AE85" s="23">
        <v>45989</v>
      </c>
      <c r="AF85" s="15">
        <v>1162.7668000000001</v>
      </c>
      <c r="AG85" s="23">
        <v>45989</v>
      </c>
      <c r="AH85" s="15">
        <v>1363.3359</v>
      </c>
    </row>
    <row r="86" spans="1:34">
      <c r="A86" s="24">
        <v>45996</v>
      </c>
      <c r="B86" s="15">
        <v>96.7971</v>
      </c>
      <c r="C86" s="23">
        <v>45996</v>
      </c>
      <c r="D86" s="15">
        <v>811.71169999999995</v>
      </c>
      <c r="E86" s="23">
        <v>45991</v>
      </c>
      <c r="F86" s="15">
        <v>287.2731</v>
      </c>
      <c r="G86" s="23">
        <v>45996</v>
      </c>
      <c r="H86" s="15">
        <v>420.6472</v>
      </c>
      <c r="I86" s="23">
        <v>45996</v>
      </c>
      <c r="J86" s="15">
        <v>2068.2476999999999</v>
      </c>
      <c r="K86" s="23">
        <v>45996</v>
      </c>
      <c r="L86" s="15">
        <v>1144.3379</v>
      </c>
      <c r="M86" s="23">
        <v>45996</v>
      </c>
      <c r="N86" s="15">
        <v>266.76760000000002</v>
      </c>
      <c r="O86" s="23">
        <v>45996</v>
      </c>
      <c r="P86" s="15">
        <v>62.804900000000004</v>
      </c>
      <c r="Q86" s="23">
        <v>45996</v>
      </c>
      <c r="R86" s="15">
        <v>692.846</v>
      </c>
      <c r="S86" s="23">
        <v>45996</v>
      </c>
      <c r="T86" s="15">
        <v>666.07960000000003</v>
      </c>
      <c r="U86" s="23">
        <v>45996</v>
      </c>
      <c r="V86" s="15">
        <v>54.476799999999997</v>
      </c>
      <c r="W86" s="23">
        <v>45996</v>
      </c>
      <c r="X86" s="15">
        <v>460.6275</v>
      </c>
      <c r="Y86" s="23">
        <v>45996</v>
      </c>
      <c r="Z86" s="15">
        <v>3247.971</v>
      </c>
      <c r="AA86" s="23">
        <v>45996</v>
      </c>
      <c r="AB86" s="15">
        <v>2442.5774000000001</v>
      </c>
      <c r="AC86" s="23">
        <v>45996</v>
      </c>
      <c r="AD86" s="15">
        <v>330.15519999999998</v>
      </c>
      <c r="AE86" s="23">
        <v>45996</v>
      </c>
      <c r="AF86" s="15">
        <v>1172.2657999999999</v>
      </c>
      <c r="AG86" s="23">
        <v>45996</v>
      </c>
      <c r="AH86" s="15">
        <v>1364.0882999999999</v>
      </c>
    </row>
    <row r="87" spans="1:34">
      <c r="A87" s="23">
        <v>46003</v>
      </c>
      <c r="B87" s="15">
        <v>96.8703</v>
      </c>
      <c r="C87" s="23">
        <v>46003</v>
      </c>
      <c r="D87" s="15">
        <v>812.41639999999995</v>
      </c>
      <c r="E87" s="23">
        <v>45998</v>
      </c>
      <c r="F87" s="15">
        <v>288.32679999999999</v>
      </c>
      <c r="G87" s="23">
        <v>46003</v>
      </c>
      <c r="H87" s="15">
        <v>420.62729999999999</v>
      </c>
      <c r="I87" s="23">
        <v>46003</v>
      </c>
      <c r="J87" s="15">
        <v>2052.5774999999999</v>
      </c>
      <c r="K87" s="23">
        <v>46003</v>
      </c>
      <c r="L87" s="15">
        <v>1144.4697000000001</v>
      </c>
      <c r="M87" s="23">
        <v>46003</v>
      </c>
      <c r="N87" s="15">
        <v>266.87959999999998</v>
      </c>
      <c r="O87" s="23">
        <v>46003</v>
      </c>
      <c r="P87" s="15">
        <v>62.1389</v>
      </c>
      <c r="Q87" s="23">
        <v>46003</v>
      </c>
      <c r="R87" s="15">
        <v>689.52359999999999</v>
      </c>
      <c r="S87" s="23">
        <v>46003</v>
      </c>
      <c r="T87" s="15">
        <v>667.28819999999996</v>
      </c>
      <c r="U87" s="23">
        <v>46003</v>
      </c>
      <c r="V87" s="15">
        <v>54.734699999999997</v>
      </c>
      <c r="W87" s="23">
        <v>46003</v>
      </c>
      <c r="X87" s="15">
        <v>459.45760000000001</v>
      </c>
      <c r="Y87" s="23">
        <v>46003</v>
      </c>
      <c r="Z87" s="15">
        <v>3257.6570000000002</v>
      </c>
      <c r="AA87" s="23">
        <v>46003</v>
      </c>
      <c r="AB87" s="15">
        <v>2443.1505000000002</v>
      </c>
      <c r="AC87" s="23">
        <v>46003</v>
      </c>
      <c r="AD87" s="15">
        <v>330.04199999999997</v>
      </c>
      <c r="AE87" s="23">
        <v>46003</v>
      </c>
      <c r="AF87" s="15">
        <v>1172.2547999999999</v>
      </c>
      <c r="AG87" s="23">
        <v>46003</v>
      </c>
      <c r="AH87" s="15">
        <v>1359.9695999999999</v>
      </c>
    </row>
    <row r="88" spans="1:34">
      <c r="A88" s="24">
        <v>46010</v>
      </c>
      <c r="B88" s="15">
        <v>96.79</v>
      </c>
      <c r="C88" s="23">
        <v>46010</v>
      </c>
      <c r="D88" s="15">
        <v>819.20230000000004</v>
      </c>
      <c r="E88" s="23">
        <v>46005</v>
      </c>
      <c r="F88" s="15">
        <v>291.26769999999999</v>
      </c>
      <c r="G88" s="23">
        <v>46010</v>
      </c>
      <c r="H88" s="15">
        <v>421.01920000000001</v>
      </c>
      <c r="I88" s="23">
        <v>46010</v>
      </c>
      <c r="J88" s="15">
        <v>2054.1060000000002</v>
      </c>
      <c r="K88" s="23">
        <v>46010</v>
      </c>
      <c r="L88" s="15">
        <v>1145.2637999999999</v>
      </c>
      <c r="M88" s="23">
        <v>46010</v>
      </c>
      <c r="N88" s="15">
        <v>267.21370000000002</v>
      </c>
      <c r="O88" s="23">
        <v>46010</v>
      </c>
      <c r="P88" s="15">
        <v>61.5105</v>
      </c>
      <c r="Q88" s="23">
        <v>46010</v>
      </c>
      <c r="R88" s="15">
        <v>688.78129999999999</v>
      </c>
      <c r="S88" s="23">
        <v>46010</v>
      </c>
      <c r="T88" s="15">
        <v>665.38530000000003</v>
      </c>
      <c r="U88" s="23">
        <v>46010</v>
      </c>
      <c r="V88" s="15">
        <v>54.695500000000003</v>
      </c>
      <c r="W88" s="23">
        <v>46010</v>
      </c>
      <c r="X88" s="15">
        <v>460.06599999999997</v>
      </c>
      <c r="Y88" s="23">
        <v>46010</v>
      </c>
      <c r="Z88" s="15">
        <v>3257.0079000000001</v>
      </c>
      <c r="AA88" s="23">
        <v>46010</v>
      </c>
      <c r="AB88" s="15">
        <v>2436.0039000000002</v>
      </c>
      <c r="AC88" s="23">
        <v>46010</v>
      </c>
      <c r="AD88" s="15">
        <v>329.99290000000002</v>
      </c>
      <c r="AE88" s="23">
        <v>46010</v>
      </c>
      <c r="AF88" s="15">
        <v>1171.3530000000001</v>
      </c>
      <c r="AG88" s="23">
        <v>46010</v>
      </c>
      <c r="AH88" s="15">
        <v>1360.8179</v>
      </c>
    </row>
    <row r="89" spans="1:34">
      <c r="A89" s="23">
        <v>46017</v>
      </c>
      <c r="B89" s="15">
        <v>97.075999999999993</v>
      </c>
      <c r="C89" s="23">
        <v>46017</v>
      </c>
      <c r="D89" s="15">
        <v>818.64639999999997</v>
      </c>
      <c r="E89" s="23">
        <v>46012</v>
      </c>
      <c r="F89" s="15">
        <v>291.27089999999998</v>
      </c>
      <c r="G89" s="23">
        <v>46017</v>
      </c>
      <c r="H89" s="15">
        <v>420.67759999999998</v>
      </c>
      <c r="I89" s="23">
        <v>46017</v>
      </c>
      <c r="J89" s="15">
        <v>2056.9047999999998</v>
      </c>
      <c r="K89" s="23">
        <v>46017</v>
      </c>
      <c r="L89" s="15">
        <v>1114.9529</v>
      </c>
      <c r="M89" s="23">
        <v>46017</v>
      </c>
      <c r="N89" s="15">
        <v>267.31869999999998</v>
      </c>
      <c r="O89" s="23">
        <v>46017</v>
      </c>
      <c r="P89" s="15">
        <v>59.448099999999997</v>
      </c>
      <c r="Q89" s="23">
        <v>46017</v>
      </c>
      <c r="R89" s="15">
        <v>687.47720000000004</v>
      </c>
      <c r="S89" s="23">
        <v>46017</v>
      </c>
      <c r="T89" s="15">
        <v>666.51900000000001</v>
      </c>
      <c r="U89" s="23">
        <v>46017</v>
      </c>
      <c r="V89" s="15">
        <v>55.719200000000001</v>
      </c>
      <c r="W89" s="23">
        <v>46017</v>
      </c>
      <c r="X89" s="15">
        <v>461.78089999999997</v>
      </c>
      <c r="Y89" s="23">
        <v>46017</v>
      </c>
      <c r="Z89" s="15">
        <v>3258.4078</v>
      </c>
      <c r="AA89" s="23">
        <v>46017</v>
      </c>
      <c r="AB89" s="15">
        <v>2437.1520999999998</v>
      </c>
      <c r="AC89" s="23">
        <v>46017</v>
      </c>
      <c r="AD89" s="15">
        <v>331.28579999999999</v>
      </c>
      <c r="AE89" s="23">
        <v>46017</v>
      </c>
      <c r="AF89" s="15">
        <v>1176.4255000000001</v>
      </c>
      <c r="AG89" s="23">
        <v>46017</v>
      </c>
      <c r="AH89" s="15">
        <v>1358.9256</v>
      </c>
    </row>
    <row r="90" spans="1:34">
      <c r="A90" s="24">
        <v>46024</v>
      </c>
      <c r="B90" s="15">
        <v>97.021500000000003</v>
      </c>
      <c r="C90" s="23">
        <v>46024</v>
      </c>
      <c r="D90" s="15">
        <v>819.20429999999999</v>
      </c>
      <c r="E90" s="23">
        <v>46019</v>
      </c>
      <c r="F90" s="15">
        <v>290.96449999999999</v>
      </c>
      <c r="G90" s="23">
        <v>46024</v>
      </c>
      <c r="H90" s="15">
        <v>420.77089999999998</v>
      </c>
      <c r="I90" s="23">
        <v>46024</v>
      </c>
      <c r="J90" s="15">
        <v>2062.1318999999999</v>
      </c>
      <c r="K90" s="23">
        <v>46024</v>
      </c>
      <c r="L90" s="15">
        <v>1113.7838999999999</v>
      </c>
      <c r="M90" s="23">
        <v>46024</v>
      </c>
      <c r="N90" s="15">
        <v>267.45659999999998</v>
      </c>
      <c r="O90" s="23">
        <v>46024</v>
      </c>
      <c r="P90" s="15">
        <v>59.497700000000002</v>
      </c>
      <c r="Q90" s="23">
        <v>46024</v>
      </c>
      <c r="R90" s="15">
        <v>688.39940000000001</v>
      </c>
      <c r="S90" s="23">
        <v>46024</v>
      </c>
      <c r="T90" s="15">
        <v>666.98699999999997</v>
      </c>
      <c r="U90" s="23">
        <v>46024</v>
      </c>
      <c r="V90" s="15">
        <v>55.774000000000001</v>
      </c>
      <c r="W90" s="23">
        <v>46024</v>
      </c>
      <c r="X90" s="15">
        <v>462.52960000000002</v>
      </c>
      <c r="Y90" s="23">
        <v>46024</v>
      </c>
      <c r="Z90" s="15">
        <v>3256.6781000000001</v>
      </c>
      <c r="AA90" s="23">
        <v>46024</v>
      </c>
      <c r="AB90" s="15">
        <v>2550.4454000000001</v>
      </c>
      <c r="AC90" s="23">
        <v>46024</v>
      </c>
      <c r="AD90" s="15">
        <v>331.4873</v>
      </c>
      <c r="AE90" s="23">
        <v>46024</v>
      </c>
      <c r="AF90" s="15">
        <v>1175.7748999999999</v>
      </c>
      <c r="AG90" s="23">
        <v>46024</v>
      </c>
      <c r="AH90" s="15">
        <v>1360.7070000000001</v>
      </c>
    </row>
    <row r="91" spans="1:34">
      <c r="A91" s="23">
        <v>46031</v>
      </c>
      <c r="B91" s="15">
        <v>96.563699999999997</v>
      </c>
      <c r="C91" s="23">
        <v>46031</v>
      </c>
      <c r="D91" s="15">
        <v>819.88869999999997</v>
      </c>
      <c r="E91" s="23">
        <v>46026</v>
      </c>
      <c r="F91" s="15">
        <v>292.70749999999998</v>
      </c>
      <c r="G91" s="23">
        <v>46031</v>
      </c>
      <c r="H91" s="15">
        <v>419.80040000000002</v>
      </c>
      <c r="I91" s="23">
        <v>46031</v>
      </c>
      <c r="J91" s="15">
        <v>2061.1927000000001</v>
      </c>
      <c r="K91" s="23">
        <v>46031</v>
      </c>
      <c r="L91" s="15">
        <v>1113.3079</v>
      </c>
      <c r="M91" s="23">
        <v>46031</v>
      </c>
      <c r="N91" s="15">
        <v>267.56180000000001</v>
      </c>
      <c r="O91" s="23">
        <v>46031</v>
      </c>
      <c r="P91" s="15">
        <v>59.784100000000002</v>
      </c>
      <c r="Q91" s="23">
        <v>46031</v>
      </c>
      <c r="R91" s="15">
        <v>688.28060000000005</v>
      </c>
      <c r="S91" s="23">
        <v>46031</v>
      </c>
      <c r="T91" s="15">
        <v>665.64030000000002</v>
      </c>
      <c r="U91" s="23">
        <v>46031</v>
      </c>
      <c r="V91" s="15">
        <v>55.393700000000003</v>
      </c>
      <c r="W91" s="23">
        <v>46031</v>
      </c>
      <c r="X91" s="15">
        <v>460.29910000000001</v>
      </c>
      <c r="Y91" s="23">
        <v>46031</v>
      </c>
      <c r="Z91" s="15">
        <v>3260.0983000000001</v>
      </c>
      <c r="AA91" s="23">
        <v>46031</v>
      </c>
      <c r="AB91" s="15">
        <v>2555.2768000000001</v>
      </c>
      <c r="AC91" s="23">
        <v>46031</v>
      </c>
      <c r="AD91" s="15">
        <v>331.20139999999998</v>
      </c>
      <c r="AE91" s="23">
        <v>46031</v>
      </c>
      <c r="AF91" s="15">
        <v>1177.3716999999999</v>
      </c>
      <c r="AG91" s="23">
        <v>46031</v>
      </c>
      <c r="AH91" s="15">
        <v>1355.5319</v>
      </c>
    </row>
    <row r="92" spans="1:34">
      <c r="A92" s="24">
        <v>46038</v>
      </c>
      <c r="B92" s="15">
        <v>96.5381</v>
      </c>
      <c r="C92" s="23">
        <v>46038</v>
      </c>
      <c r="D92" s="15">
        <v>823.28530000000001</v>
      </c>
      <c r="E92" s="23">
        <v>46033</v>
      </c>
      <c r="F92" s="15">
        <v>294.95350000000002</v>
      </c>
      <c r="G92" s="23">
        <v>46038</v>
      </c>
      <c r="H92" s="15">
        <v>420.14909999999998</v>
      </c>
      <c r="I92" s="23">
        <v>46038</v>
      </c>
      <c r="J92" s="15">
        <v>2059.2521999999999</v>
      </c>
      <c r="K92" s="23">
        <v>46038</v>
      </c>
      <c r="L92" s="15">
        <v>1113.7447</v>
      </c>
      <c r="M92" s="23">
        <v>46038</v>
      </c>
      <c r="N92" s="15">
        <v>267.52109999999999</v>
      </c>
      <c r="O92" s="23">
        <v>46038</v>
      </c>
      <c r="P92" s="15">
        <v>59.568399999999997</v>
      </c>
      <c r="Q92" s="23">
        <v>46038</v>
      </c>
      <c r="R92" s="15">
        <v>688.66369999999995</v>
      </c>
      <c r="S92" s="23">
        <v>46038</v>
      </c>
      <c r="T92" s="15">
        <v>665.17660000000001</v>
      </c>
      <c r="U92" s="23">
        <v>46038</v>
      </c>
      <c r="V92" s="15">
        <v>55.486199999999997</v>
      </c>
      <c r="W92" s="23">
        <v>46038</v>
      </c>
      <c r="X92" s="15">
        <v>456.22250000000003</v>
      </c>
      <c r="Y92" s="23">
        <v>46038</v>
      </c>
      <c r="Z92" s="15">
        <v>3264.6475999999998</v>
      </c>
      <c r="AA92" s="23">
        <v>46038</v>
      </c>
      <c r="AB92" s="15">
        <v>2556.1954999999998</v>
      </c>
      <c r="AC92" s="23">
        <v>46038</v>
      </c>
      <c r="AD92" s="15">
        <v>331.13400000000001</v>
      </c>
      <c r="AE92" s="23">
        <v>46038</v>
      </c>
      <c r="AF92" s="15">
        <v>1174.9485999999999</v>
      </c>
      <c r="AG92" s="23">
        <v>46038</v>
      </c>
      <c r="AH92" s="15">
        <v>1353.7215000000001</v>
      </c>
    </row>
    <row r="93" spans="1:34">
      <c r="A93" s="23">
        <v>46045</v>
      </c>
      <c r="B93" s="15">
        <v>96.558000000000007</v>
      </c>
      <c r="C93" s="23">
        <v>46045</v>
      </c>
      <c r="D93" s="15">
        <v>822.91010000000006</v>
      </c>
      <c r="E93" s="23">
        <v>46040</v>
      </c>
      <c r="F93" s="15">
        <v>295.19659999999999</v>
      </c>
      <c r="G93" s="23">
        <v>46045</v>
      </c>
      <c r="H93" s="15">
        <v>420.63189999999997</v>
      </c>
      <c r="I93" s="23">
        <v>46045</v>
      </c>
      <c r="J93" s="15">
        <v>2057.6342</v>
      </c>
      <c r="K93" s="23">
        <v>46045</v>
      </c>
      <c r="L93" s="15">
        <v>1111.3761999999999</v>
      </c>
      <c r="M93" s="23">
        <v>46045</v>
      </c>
      <c r="N93" s="15">
        <v>266.4991</v>
      </c>
      <c r="O93" s="23">
        <v>46045</v>
      </c>
      <c r="P93" s="15">
        <v>58.7136</v>
      </c>
      <c r="Q93" s="23">
        <v>46045</v>
      </c>
      <c r="R93" s="15">
        <v>688.56190000000004</v>
      </c>
      <c r="S93" s="23">
        <v>46045</v>
      </c>
      <c r="T93" s="15">
        <v>664.4212</v>
      </c>
      <c r="U93" s="23">
        <v>46045</v>
      </c>
      <c r="V93" s="15">
        <v>55.422600000000003</v>
      </c>
      <c r="W93" s="23">
        <v>46045</v>
      </c>
      <c r="X93" s="15">
        <v>451.59289999999999</v>
      </c>
      <c r="Y93" s="23">
        <v>46045</v>
      </c>
      <c r="Z93" s="15">
        <v>3263.2503000000002</v>
      </c>
      <c r="AA93" s="23">
        <v>46045</v>
      </c>
      <c r="AB93" s="15">
        <v>2556.6604000000002</v>
      </c>
      <c r="AC93" s="23">
        <v>46045</v>
      </c>
      <c r="AD93" s="15">
        <v>331.12060000000002</v>
      </c>
      <c r="AE93" s="23">
        <v>46045</v>
      </c>
      <c r="AF93" s="15">
        <v>1179.6569999999999</v>
      </c>
      <c r="AG93" s="23">
        <v>46045</v>
      </c>
      <c r="AH93" s="15">
        <v>1354.971</v>
      </c>
    </row>
    <row r="94" spans="1:34">
      <c r="A94" s="24">
        <v>46052</v>
      </c>
      <c r="B94" s="15">
        <v>98.450100000000006</v>
      </c>
      <c r="C94" s="23">
        <v>46052</v>
      </c>
      <c r="D94" s="15">
        <v>815.31619999999998</v>
      </c>
      <c r="E94" s="23">
        <v>46047</v>
      </c>
      <c r="F94" s="15">
        <v>296.29180000000002</v>
      </c>
      <c r="G94" s="23">
        <v>46052</v>
      </c>
      <c r="H94" s="15">
        <v>421.87200000000001</v>
      </c>
      <c r="I94" s="23">
        <v>46052</v>
      </c>
      <c r="J94" s="15">
        <v>2059.5774000000001</v>
      </c>
      <c r="K94" s="23">
        <v>46052</v>
      </c>
      <c r="L94" s="15">
        <v>1111.1434999999999</v>
      </c>
      <c r="M94" s="23">
        <v>46052</v>
      </c>
      <c r="N94" s="15">
        <v>264.16430000000003</v>
      </c>
      <c r="O94" s="23">
        <v>46052</v>
      </c>
      <c r="P94" s="15">
        <v>57.628900000000002</v>
      </c>
      <c r="Q94" s="23">
        <v>46052</v>
      </c>
      <c r="R94" s="15">
        <v>680.56410000000005</v>
      </c>
      <c r="S94" s="23">
        <v>46052</v>
      </c>
      <c r="T94" s="15">
        <v>662.91980000000001</v>
      </c>
      <c r="U94" s="23">
        <v>46052</v>
      </c>
      <c r="V94" s="15">
        <v>55.537500000000001</v>
      </c>
      <c r="W94" s="23">
        <v>46052</v>
      </c>
      <c r="X94" s="15">
        <v>441.66379999999998</v>
      </c>
      <c r="Y94" s="23">
        <v>46052</v>
      </c>
      <c r="Z94" s="15">
        <v>3261.6581000000001</v>
      </c>
      <c r="AA94" s="23">
        <v>46052</v>
      </c>
      <c r="AB94" s="15">
        <v>2573.5884000000001</v>
      </c>
      <c r="AC94" s="23">
        <v>46052</v>
      </c>
      <c r="AD94" s="15">
        <v>329.20150000000001</v>
      </c>
      <c r="AE94" s="23">
        <v>46052</v>
      </c>
      <c r="AF94" s="15">
        <v>1181.4743000000001</v>
      </c>
      <c r="AG94" s="23">
        <v>46052</v>
      </c>
      <c r="AH94" s="15">
        <v>1357.4806000000001</v>
      </c>
    </row>
    <row r="95" spans="1:34">
      <c r="A95" s="23">
        <v>46059</v>
      </c>
      <c r="B95" s="15">
        <v>98.029700000000005</v>
      </c>
      <c r="C95" s="23">
        <v>46059</v>
      </c>
      <c r="D95" s="15">
        <v>756.03510000000006</v>
      </c>
      <c r="E95" s="23">
        <v>46054</v>
      </c>
      <c r="F95" s="15">
        <v>291.69150000000002</v>
      </c>
      <c r="G95" s="23">
        <v>46059</v>
      </c>
      <c r="H95" s="15">
        <v>400.46969999999999</v>
      </c>
      <c r="I95" s="23">
        <v>46059</v>
      </c>
      <c r="J95" s="15">
        <v>2059.7633999999998</v>
      </c>
      <c r="K95" s="23">
        <v>46059</v>
      </c>
      <c r="L95" s="15">
        <v>1111.4311</v>
      </c>
      <c r="M95" s="23">
        <v>46059</v>
      </c>
      <c r="N95" s="15">
        <v>260.24259999999998</v>
      </c>
      <c r="O95" s="23">
        <v>46059</v>
      </c>
      <c r="P95" s="15">
        <v>55.887500000000003</v>
      </c>
      <c r="Q95" s="23">
        <v>46059</v>
      </c>
      <c r="R95" s="15">
        <v>655.88430000000005</v>
      </c>
      <c r="S95" s="23">
        <v>46059</v>
      </c>
      <c r="T95" s="15">
        <v>657.97720000000004</v>
      </c>
      <c r="U95" s="23">
        <v>46059</v>
      </c>
      <c r="V95" s="15">
        <v>54.661099999999998</v>
      </c>
      <c r="W95" s="23">
        <v>46059</v>
      </c>
      <c r="X95" s="15">
        <v>434.96409999999997</v>
      </c>
      <c r="Y95" s="23">
        <v>46059</v>
      </c>
      <c r="Z95" s="15">
        <v>3123.4391999999998</v>
      </c>
      <c r="AA95" s="23">
        <v>46059</v>
      </c>
      <c r="AB95" s="15">
        <v>2570.2377999999999</v>
      </c>
      <c r="AC95" s="23">
        <v>46059</v>
      </c>
      <c r="AD95" s="15">
        <v>330.49869999999999</v>
      </c>
      <c r="AE95" s="23">
        <v>46059</v>
      </c>
      <c r="AF95" s="15">
        <v>1169.9246000000001</v>
      </c>
      <c r="AG95" s="23">
        <v>46059</v>
      </c>
      <c r="AH95" s="15">
        <v>1354.4585</v>
      </c>
    </row>
    <row r="96" spans="1:34">
      <c r="A96" s="24">
        <v>46066</v>
      </c>
      <c r="B96" s="15">
        <v>91.958600000000004</v>
      </c>
      <c r="C96" s="23">
        <v>46066</v>
      </c>
      <c r="D96" s="15">
        <v>751.76490000000001</v>
      </c>
      <c r="E96" s="23">
        <v>46061</v>
      </c>
      <c r="F96" s="15">
        <v>284.40809999999999</v>
      </c>
      <c r="G96" s="23">
        <v>46066</v>
      </c>
      <c r="H96" s="15">
        <v>396.85719999999998</v>
      </c>
      <c r="I96" s="23">
        <v>46066</v>
      </c>
      <c r="J96" s="15">
        <v>2053.9353999999998</v>
      </c>
      <c r="K96" s="23">
        <v>46066</v>
      </c>
      <c r="L96" s="15">
        <v>1111.2927</v>
      </c>
      <c r="M96" s="23">
        <v>46066</v>
      </c>
      <c r="N96" s="15">
        <v>257.94650000000001</v>
      </c>
      <c r="O96" s="23">
        <v>46066</v>
      </c>
      <c r="P96" s="15">
        <v>53.481099999999998</v>
      </c>
      <c r="Q96" s="23">
        <v>46066</v>
      </c>
      <c r="R96" s="15">
        <v>655.62270000000001</v>
      </c>
      <c r="S96" s="23">
        <v>46066</v>
      </c>
      <c r="T96" s="15">
        <v>640.06730000000005</v>
      </c>
      <c r="U96" s="23">
        <v>46066</v>
      </c>
      <c r="V96" s="15">
        <v>57.388500000000001</v>
      </c>
      <c r="W96" s="23">
        <v>46066</v>
      </c>
      <c r="X96" s="15">
        <v>433.31799999999998</v>
      </c>
      <c r="Y96" s="23">
        <v>46066</v>
      </c>
      <c r="Z96" s="15">
        <v>3160.8263999999999</v>
      </c>
      <c r="AA96" s="23">
        <v>46066</v>
      </c>
      <c r="AB96" s="15">
        <v>2362.7624000000001</v>
      </c>
      <c r="AC96" s="23">
        <v>46066</v>
      </c>
      <c r="AD96" s="15">
        <v>337.98070000000001</v>
      </c>
      <c r="AE96" s="23">
        <v>46066</v>
      </c>
      <c r="AF96" s="15">
        <v>1173.4661000000001</v>
      </c>
      <c r="AG96" s="23">
        <v>46066</v>
      </c>
      <c r="AH96" s="15">
        <v>1367.8995</v>
      </c>
    </row>
    <row r="97" spans="1:34">
      <c r="A97" s="23">
        <v>46073</v>
      </c>
      <c r="B97" s="15">
        <v>91.172899999999998</v>
      </c>
      <c r="C97" s="23">
        <v>46073</v>
      </c>
      <c r="D97" s="15">
        <v>746.57370000000003</v>
      </c>
      <c r="E97" s="23">
        <v>46068</v>
      </c>
      <c r="F97" s="15">
        <v>556.58849999999995</v>
      </c>
      <c r="G97" s="23">
        <v>46073</v>
      </c>
      <c r="H97" s="15">
        <v>412.6352</v>
      </c>
      <c r="I97" s="23">
        <v>46073</v>
      </c>
      <c r="J97" s="15">
        <v>2053.7213000000002</v>
      </c>
      <c r="K97" s="23">
        <v>46073</v>
      </c>
      <c r="L97" s="15">
        <v>1111.5939000000001</v>
      </c>
      <c r="M97" s="23">
        <v>46073</v>
      </c>
      <c r="N97" s="15">
        <v>257.3211</v>
      </c>
      <c r="O97" s="23">
        <v>46073</v>
      </c>
      <c r="P97" s="15">
        <v>54.472900000000003</v>
      </c>
      <c r="Q97" s="23">
        <v>46073</v>
      </c>
      <c r="R97" s="15">
        <v>711.20929999999998</v>
      </c>
      <c r="S97" s="23">
        <v>46073</v>
      </c>
      <c r="T97" s="15">
        <v>638.11339999999996</v>
      </c>
      <c r="U97" s="23">
        <v>46073</v>
      </c>
      <c r="V97" s="15">
        <v>57.628300000000003</v>
      </c>
      <c r="W97" s="23">
        <v>46073</v>
      </c>
      <c r="X97" s="15">
        <v>523.11059999999998</v>
      </c>
      <c r="Y97" s="23">
        <v>46073</v>
      </c>
      <c r="Z97" s="15">
        <v>3097.2141000000001</v>
      </c>
      <c r="AA97" s="23">
        <v>46073</v>
      </c>
      <c r="AB97" s="15">
        <v>2426.6648</v>
      </c>
      <c r="AC97" s="23">
        <v>46073</v>
      </c>
      <c r="AD97" s="15">
        <v>336.88350000000003</v>
      </c>
      <c r="AE97" s="23">
        <v>46073</v>
      </c>
      <c r="AF97" s="15">
        <v>1153.3001999999999</v>
      </c>
      <c r="AG97" s="23">
        <v>46073</v>
      </c>
      <c r="AH97" s="15">
        <v>1367.2784999999999</v>
      </c>
    </row>
    <row r="98" spans="1:34">
      <c r="A98" s="24">
        <v>46080</v>
      </c>
      <c r="B98" s="15">
        <v>110.2222</v>
      </c>
      <c r="C98" s="23">
        <v>46080</v>
      </c>
      <c r="D98" s="15">
        <v>741.67110000000002</v>
      </c>
      <c r="E98" s="23">
        <v>46075</v>
      </c>
      <c r="F98" s="15">
        <v>558.20129999999995</v>
      </c>
      <c r="G98" s="23">
        <v>46080</v>
      </c>
      <c r="H98" s="15">
        <v>494.04509999999999</v>
      </c>
      <c r="I98" s="23">
        <v>46080</v>
      </c>
      <c r="J98" s="15">
        <v>2059.3787000000002</v>
      </c>
      <c r="K98" s="23">
        <v>46080</v>
      </c>
      <c r="L98" s="15">
        <v>1111.1467</v>
      </c>
      <c r="M98" s="23">
        <v>46080</v>
      </c>
      <c r="N98" s="15">
        <v>314.964</v>
      </c>
      <c r="O98" s="23">
        <v>46080</v>
      </c>
      <c r="P98" s="15">
        <v>99.079499999999996</v>
      </c>
      <c r="Q98" s="23">
        <v>46080</v>
      </c>
      <c r="R98" s="15">
        <v>708.37929999999994</v>
      </c>
      <c r="S98" s="23">
        <v>46080</v>
      </c>
      <c r="T98" s="15">
        <v>640.27020000000005</v>
      </c>
      <c r="U98" s="23">
        <v>46080</v>
      </c>
      <c r="V98" s="15">
        <v>57.696800000000003</v>
      </c>
      <c r="W98" s="23">
        <v>46080</v>
      </c>
      <c r="X98" s="15">
        <v>521.62800000000004</v>
      </c>
      <c r="Y98" s="23">
        <v>46080</v>
      </c>
      <c r="Z98" s="15">
        <v>2415.8067000000001</v>
      </c>
      <c r="AA98" s="23">
        <v>46080</v>
      </c>
      <c r="AB98" s="15">
        <v>2417.5862999999999</v>
      </c>
      <c r="AC98" s="23">
        <v>46080</v>
      </c>
      <c r="AD98" s="15">
        <v>363.64299999999997</v>
      </c>
      <c r="AE98" s="23">
        <v>46080</v>
      </c>
      <c r="AF98" s="15">
        <v>1258.9957999999999</v>
      </c>
      <c r="AG98" s="23">
        <v>46080</v>
      </c>
      <c r="AH98" s="15">
        <v>1554.0392999999999</v>
      </c>
    </row>
    <row r="99" spans="1:34">
      <c r="A99" s="23">
        <v>46087</v>
      </c>
      <c r="B99" s="15">
        <v>110.90219999999999</v>
      </c>
      <c r="C99" s="23">
        <v>46087</v>
      </c>
      <c r="D99" s="15">
        <v>1019.7607</v>
      </c>
      <c r="E99" s="23">
        <v>46082</v>
      </c>
      <c r="F99" s="15">
        <v>595.05460000000005</v>
      </c>
      <c r="G99" s="23">
        <v>46087</v>
      </c>
      <c r="H99" s="15">
        <v>500.67259999999999</v>
      </c>
      <c r="I99" s="23">
        <v>46087</v>
      </c>
      <c r="J99" s="15">
        <v>2049.2420999999999</v>
      </c>
      <c r="K99" s="23">
        <v>46087</v>
      </c>
      <c r="L99" s="15">
        <v>1109.7108000000001</v>
      </c>
      <c r="M99" s="23">
        <v>46087</v>
      </c>
      <c r="N99" s="15">
        <v>315.7022</v>
      </c>
      <c r="O99" s="23">
        <v>46087</v>
      </c>
      <c r="P99" s="15">
        <v>97.794200000000004</v>
      </c>
      <c r="Q99" s="23">
        <v>46087</v>
      </c>
      <c r="R99" s="15">
        <v>712.07780000000002</v>
      </c>
      <c r="S99" s="23">
        <v>46087</v>
      </c>
      <c r="T99" s="15">
        <v>742.44770000000005</v>
      </c>
      <c r="U99" s="23">
        <v>46087</v>
      </c>
      <c r="V99" s="15">
        <v>58.401499999999999</v>
      </c>
      <c r="W99" s="23">
        <v>46087</v>
      </c>
      <c r="X99" s="15">
        <v>521.99850000000004</v>
      </c>
      <c r="Y99" s="23">
        <v>46087</v>
      </c>
      <c r="Z99" s="15">
        <v>3566.0873000000001</v>
      </c>
      <c r="AA99" s="23">
        <v>46087</v>
      </c>
      <c r="AB99" s="15">
        <v>2403.1421999999998</v>
      </c>
      <c r="AC99" s="23">
        <v>46087</v>
      </c>
      <c r="AD99" s="15">
        <v>363.37529999999998</v>
      </c>
      <c r="AE99" s="23">
        <v>46087</v>
      </c>
      <c r="AF99" s="15">
        <v>1261.1751999999999</v>
      </c>
      <c r="AG99" s="23">
        <v>46087</v>
      </c>
      <c r="AH99" s="15">
        <v>1542.7817</v>
      </c>
    </row>
    <row r="100" spans="1:34">
      <c r="A100" s="24">
        <v>46094</v>
      </c>
      <c r="B100" s="15">
        <v>111.7067</v>
      </c>
      <c r="C100" s="23">
        <v>46094</v>
      </c>
      <c r="D100" s="15">
        <v>1029.2280000000001</v>
      </c>
      <c r="E100" s="23">
        <v>46089</v>
      </c>
      <c r="F100" s="15">
        <v>609.22119999999995</v>
      </c>
      <c r="G100" s="23">
        <v>46094</v>
      </c>
      <c r="H100" s="15">
        <v>502.6293</v>
      </c>
      <c r="I100" s="23">
        <v>46094</v>
      </c>
      <c r="J100" s="15">
        <v>2038.2999</v>
      </c>
      <c r="K100" s="23">
        <v>46094</v>
      </c>
      <c r="L100" s="15">
        <v>1107.3933</v>
      </c>
      <c r="M100" s="23">
        <v>46094</v>
      </c>
      <c r="N100" s="15">
        <v>317.10059999999999</v>
      </c>
      <c r="O100" s="23">
        <v>46094</v>
      </c>
      <c r="P100" s="15">
        <v>98.391499999999994</v>
      </c>
      <c r="Q100" s="23">
        <v>46094</v>
      </c>
      <c r="R100" s="15">
        <v>715.36149999999998</v>
      </c>
      <c r="S100" s="23">
        <v>46094</v>
      </c>
      <c r="T100" s="15">
        <v>751.976</v>
      </c>
      <c r="U100" s="23">
        <v>46094</v>
      </c>
      <c r="V100" s="15">
        <v>59.607399999999998</v>
      </c>
      <c r="W100" s="23">
        <v>46094</v>
      </c>
      <c r="X100" s="15">
        <v>527.10249999999996</v>
      </c>
      <c r="Y100" s="23">
        <v>46094</v>
      </c>
      <c r="Z100" s="15">
        <v>3572.6066000000001</v>
      </c>
      <c r="AA100" s="23">
        <v>46094</v>
      </c>
      <c r="AB100" s="15">
        <v>2434.3411999999998</v>
      </c>
      <c r="AC100" s="23">
        <v>46094</v>
      </c>
      <c r="AD100" s="15">
        <v>365.39330000000001</v>
      </c>
      <c r="AE100" s="23">
        <v>46094</v>
      </c>
      <c r="AF100" s="15">
        <v>1265.6433999999999</v>
      </c>
      <c r="AG100" s="23">
        <v>46094</v>
      </c>
      <c r="AH100" s="15">
        <v>1536.8318999999999</v>
      </c>
    </row>
    <row r="101" spans="1:34">
      <c r="A101" s="23">
        <v>46101</v>
      </c>
      <c r="B101" s="15">
        <v>111.4765</v>
      </c>
      <c r="C101" s="23">
        <v>46101</v>
      </c>
      <c r="D101" s="15">
        <v>1080.8244</v>
      </c>
      <c r="E101" s="23">
        <v>46096</v>
      </c>
      <c r="F101" s="15">
        <v>619.3904</v>
      </c>
      <c r="G101" s="23">
        <v>46101</v>
      </c>
      <c r="H101" s="15">
        <v>504.2713</v>
      </c>
      <c r="I101" s="23">
        <v>46101</v>
      </c>
      <c r="J101" s="15">
        <v>2001.7491</v>
      </c>
      <c r="K101" s="23">
        <v>46101</v>
      </c>
      <c r="L101" s="15">
        <v>1106.3983000000001</v>
      </c>
      <c r="M101" s="23">
        <v>46101</v>
      </c>
      <c r="N101" s="15">
        <v>322.51569999999998</v>
      </c>
      <c r="O101" s="23">
        <v>46101</v>
      </c>
      <c r="P101" s="15">
        <v>98.505499999999998</v>
      </c>
      <c r="Q101" s="23">
        <v>46101</v>
      </c>
      <c r="R101" s="15">
        <v>715.56590000000006</v>
      </c>
      <c r="S101" s="23">
        <v>46101</v>
      </c>
      <c r="T101" s="15">
        <v>758.1096</v>
      </c>
      <c r="U101" s="23">
        <v>46101</v>
      </c>
      <c r="V101" s="15">
        <v>60.315100000000001</v>
      </c>
      <c r="W101" s="23">
        <v>46101</v>
      </c>
      <c r="X101" s="15">
        <v>530.52390000000003</v>
      </c>
      <c r="Y101" s="23">
        <v>46101</v>
      </c>
      <c r="Z101" s="15">
        <v>3622.8053</v>
      </c>
      <c r="AA101" s="23">
        <v>46101</v>
      </c>
      <c r="AB101" s="15">
        <v>2430.3697000000002</v>
      </c>
      <c r="AC101" s="23">
        <v>46101</v>
      </c>
      <c r="AD101" s="15">
        <v>366.4289</v>
      </c>
      <c r="AE101" s="23">
        <v>46101</v>
      </c>
      <c r="AF101" s="15">
        <v>1269.7988</v>
      </c>
      <c r="AG101" s="23">
        <v>46101</v>
      </c>
      <c r="AH101" s="15">
        <v>1526.2846</v>
      </c>
    </row>
    <row r="102" spans="1:34">
      <c r="A102" s="24">
        <v>46108</v>
      </c>
      <c r="B102" s="15">
        <v>113.2047</v>
      </c>
      <c r="C102" s="23">
        <v>46108</v>
      </c>
      <c r="D102" s="15">
        <v>1082.1723999999999</v>
      </c>
      <c r="E102" s="23">
        <v>46103</v>
      </c>
      <c r="F102" s="15">
        <v>632.82899999999995</v>
      </c>
      <c r="G102" s="23">
        <v>46108</v>
      </c>
      <c r="H102" s="15">
        <v>509.2287</v>
      </c>
      <c r="I102" s="23">
        <v>46108</v>
      </c>
      <c r="J102" s="15">
        <v>2249.6345000000001</v>
      </c>
      <c r="K102" s="23">
        <v>46108</v>
      </c>
      <c r="L102" s="15">
        <v>1086.3708999999999</v>
      </c>
      <c r="M102" s="23">
        <v>46108</v>
      </c>
      <c r="N102" s="15">
        <v>323.52949999999998</v>
      </c>
      <c r="O102" s="23">
        <v>46108</v>
      </c>
      <c r="P102" s="15">
        <v>95.425399999999996</v>
      </c>
      <c r="Q102" s="23">
        <v>46108</v>
      </c>
      <c r="R102" s="15">
        <v>716.47069999999997</v>
      </c>
      <c r="S102" s="23">
        <v>46108</v>
      </c>
      <c r="T102" s="15">
        <v>768.27359999999999</v>
      </c>
      <c r="U102" s="23">
        <v>46108</v>
      </c>
      <c r="V102" s="15">
        <v>63.1663</v>
      </c>
      <c r="W102" s="23">
        <v>46108</v>
      </c>
      <c r="X102" s="15">
        <v>532.21079999999995</v>
      </c>
      <c r="Y102" s="23">
        <v>46108</v>
      </c>
      <c r="Z102" s="15">
        <v>3664.7332999999999</v>
      </c>
      <c r="AA102" s="23">
        <v>46108</v>
      </c>
      <c r="AB102" s="15">
        <v>2414.5675999999999</v>
      </c>
      <c r="AC102" s="23">
        <v>46108</v>
      </c>
      <c r="AD102" s="15">
        <v>371.69779999999997</v>
      </c>
      <c r="AE102" s="23">
        <v>46108</v>
      </c>
      <c r="AF102" s="15">
        <v>1274.5912000000001</v>
      </c>
      <c r="AG102" s="23">
        <v>46108</v>
      </c>
      <c r="AH102" s="15">
        <v>1535.3885</v>
      </c>
    </row>
    <row r="103" spans="1:34">
      <c r="A103" s="23">
        <v>46115</v>
      </c>
      <c r="B103" s="15">
        <v>114.4708</v>
      </c>
      <c r="C103" s="23">
        <v>46115</v>
      </c>
      <c r="D103" s="15">
        <v>1081.3667</v>
      </c>
      <c r="E103" s="23">
        <v>46110</v>
      </c>
      <c r="F103" s="15">
        <v>641.52189999999996</v>
      </c>
      <c r="G103" s="23">
        <v>46115</v>
      </c>
      <c r="H103" s="15">
        <v>510.84570000000002</v>
      </c>
      <c r="I103" s="23">
        <v>46115</v>
      </c>
      <c r="J103" s="15">
        <v>2244.424</v>
      </c>
      <c r="K103" s="23">
        <v>46115</v>
      </c>
      <c r="L103" s="15">
        <v>1079.3778</v>
      </c>
      <c r="M103" s="23">
        <v>46115</v>
      </c>
      <c r="N103" s="15">
        <v>324.01560000000001</v>
      </c>
      <c r="O103" s="23">
        <v>46115</v>
      </c>
      <c r="P103" s="15">
        <v>95.370599999999996</v>
      </c>
      <c r="Q103" s="23">
        <v>46115</v>
      </c>
      <c r="R103" s="15">
        <v>717.46320000000003</v>
      </c>
      <c r="S103" s="23">
        <v>46115</v>
      </c>
      <c r="T103" s="15">
        <v>780.85410000000002</v>
      </c>
      <c r="U103" s="23">
        <v>46115</v>
      </c>
      <c r="V103" s="15">
        <v>63.958599999999997</v>
      </c>
      <c r="W103" s="23">
        <v>46115</v>
      </c>
      <c r="X103" s="15">
        <v>537.07640000000004</v>
      </c>
      <c r="Y103" s="23">
        <v>46115</v>
      </c>
      <c r="Z103" s="15">
        <v>3669.5522000000001</v>
      </c>
      <c r="AA103" s="23">
        <v>46115</v>
      </c>
      <c r="AB103" s="15">
        <v>2509.6156999999998</v>
      </c>
      <c r="AC103" s="23">
        <v>46115</v>
      </c>
      <c r="AD103" s="15">
        <v>373.06060000000002</v>
      </c>
      <c r="AE103" s="23">
        <v>46115</v>
      </c>
      <c r="AF103" s="15">
        <v>1278.9191000000001</v>
      </c>
      <c r="AG103" s="23">
        <v>46115</v>
      </c>
      <c r="AH103" s="15">
        <v>1529.1534999999999</v>
      </c>
    </row>
    <row r="104" spans="1:34">
      <c r="A104" s="24">
        <v>46122</v>
      </c>
      <c r="B104" s="15">
        <v>117.21469999999999</v>
      </c>
      <c r="C104" s="23">
        <v>46122</v>
      </c>
      <c r="D104" s="15">
        <v>1084.2367999999999</v>
      </c>
      <c r="E104" s="23">
        <v>46117</v>
      </c>
      <c r="F104" s="15">
        <v>653.42790000000002</v>
      </c>
      <c r="G104" s="23">
        <v>46122</v>
      </c>
      <c r="H104" s="15">
        <v>509.59519999999998</v>
      </c>
      <c r="I104" s="23">
        <v>46122</v>
      </c>
      <c r="J104" s="15">
        <v>2248.9423000000002</v>
      </c>
      <c r="K104" s="23">
        <v>46122</v>
      </c>
      <c r="L104" s="15">
        <v>1187.5324000000001</v>
      </c>
      <c r="M104" s="23">
        <v>46122</v>
      </c>
      <c r="N104" s="15">
        <v>324.7047</v>
      </c>
      <c r="O104" s="23">
        <v>46122</v>
      </c>
      <c r="P104" s="15">
        <v>95.210800000000006</v>
      </c>
      <c r="Q104" s="23">
        <v>46122</v>
      </c>
      <c r="R104" s="15">
        <v>713.08140000000003</v>
      </c>
      <c r="S104" s="23">
        <v>46122</v>
      </c>
      <c r="T104" s="15">
        <v>782.28039999999999</v>
      </c>
      <c r="U104" s="23">
        <v>46122</v>
      </c>
      <c r="V104" s="15">
        <v>64.363200000000006</v>
      </c>
      <c r="W104" s="23">
        <v>46122</v>
      </c>
      <c r="X104" s="15">
        <v>536.47260000000006</v>
      </c>
      <c r="Y104" s="23">
        <v>46122</v>
      </c>
      <c r="Z104" s="15">
        <v>3680.7098000000001</v>
      </c>
      <c r="AA104" s="23">
        <v>46122</v>
      </c>
      <c r="AB104" s="15">
        <v>2533.7649000000001</v>
      </c>
      <c r="AC104" s="23">
        <v>46122</v>
      </c>
      <c r="AD104" s="15">
        <v>373.41789999999997</v>
      </c>
      <c r="AE104" s="23">
        <v>46122</v>
      </c>
      <c r="AF104" s="15">
        <v>1278.7461000000001</v>
      </c>
      <c r="AG104" s="23">
        <v>46122</v>
      </c>
      <c r="AH104" s="15">
        <v>1527.1251</v>
      </c>
    </row>
    <row r="105" spans="1:34">
      <c r="A105" s="23">
        <v>46129</v>
      </c>
      <c r="B105" s="15">
        <v>117.84910000000001</v>
      </c>
      <c r="C105" s="23">
        <v>46129</v>
      </c>
      <c r="D105" s="15">
        <v>1089.5137999999999</v>
      </c>
      <c r="E105" s="23">
        <v>46124</v>
      </c>
      <c r="F105" s="15">
        <v>722.3374</v>
      </c>
      <c r="G105" s="23">
        <v>46129</v>
      </c>
      <c r="H105" s="15">
        <v>505.03059999999999</v>
      </c>
      <c r="I105" s="23">
        <v>46129</v>
      </c>
      <c r="J105" s="15">
        <v>2248.5761000000002</v>
      </c>
      <c r="K105" s="23">
        <v>46129</v>
      </c>
      <c r="L105" s="15">
        <v>1186.9374</v>
      </c>
      <c r="M105" s="23">
        <v>46129</v>
      </c>
      <c r="N105" s="15">
        <v>326.69690000000003</v>
      </c>
      <c r="O105" s="23">
        <v>46129</v>
      </c>
      <c r="P105" s="15">
        <v>95.268000000000001</v>
      </c>
      <c r="Q105" s="23">
        <v>46129</v>
      </c>
      <c r="R105" s="15">
        <v>709.21619999999996</v>
      </c>
      <c r="S105" s="23">
        <v>46129</v>
      </c>
      <c r="T105" s="15">
        <v>791.45640000000003</v>
      </c>
      <c r="U105" s="23">
        <v>46129</v>
      </c>
      <c r="V105" s="15">
        <v>66.057299999999998</v>
      </c>
      <c r="W105" s="23">
        <v>46129</v>
      </c>
      <c r="X105" s="15">
        <v>540.27940000000001</v>
      </c>
      <c r="Y105" s="23">
        <v>46129</v>
      </c>
      <c r="Z105" s="15">
        <v>3685.2694000000001</v>
      </c>
      <c r="AA105" s="23">
        <v>46129</v>
      </c>
      <c r="AB105" s="15">
        <v>2526.8901000000001</v>
      </c>
      <c r="AC105" s="23">
        <v>46129</v>
      </c>
      <c r="AD105" s="15">
        <v>375.47489999999999</v>
      </c>
      <c r="AE105" s="23">
        <v>46129</v>
      </c>
      <c r="AF105" s="15">
        <v>1280.1027999999999</v>
      </c>
      <c r="AG105" s="23">
        <v>46129</v>
      </c>
      <c r="AH105" s="15">
        <v>1526.6106</v>
      </c>
    </row>
    <row r="106" spans="1:34">
      <c r="A106" s="24">
        <v>46136</v>
      </c>
      <c r="B106" s="15">
        <v>119.0427</v>
      </c>
      <c r="C106" s="23">
        <v>46136</v>
      </c>
      <c r="D106" s="15">
        <v>1109.0677000000001</v>
      </c>
      <c r="E106" s="23">
        <v>46131</v>
      </c>
      <c r="F106" s="15">
        <v>750.8768</v>
      </c>
      <c r="G106" s="23">
        <v>46136</v>
      </c>
      <c r="H106" s="15">
        <v>504.7561</v>
      </c>
      <c r="I106" s="23">
        <v>46136</v>
      </c>
      <c r="J106" s="15">
        <v>2243.6235000000001</v>
      </c>
      <c r="K106" s="23">
        <v>46136</v>
      </c>
      <c r="L106" s="15">
        <v>1185.2104999999999</v>
      </c>
      <c r="M106" s="23">
        <v>46136</v>
      </c>
      <c r="N106" s="15">
        <v>327.8236</v>
      </c>
      <c r="O106" s="23">
        <v>46136</v>
      </c>
      <c r="P106" s="15">
        <v>94.283199999999994</v>
      </c>
      <c r="Q106" s="23">
        <v>46136</v>
      </c>
      <c r="R106" s="15">
        <v>715.14729999999997</v>
      </c>
      <c r="S106" s="23">
        <v>46136</v>
      </c>
      <c r="T106" s="15">
        <v>793.40840000000003</v>
      </c>
      <c r="U106" s="23">
        <v>46136</v>
      </c>
      <c r="V106" s="15">
        <v>66.822800000000001</v>
      </c>
      <c r="W106" s="23">
        <v>46136</v>
      </c>
      <c r="X106" s="15">
        <v>544.07770000000005</v>
      </c>
      <c r="Y106" s="23">
        <v>46136</v>
      </c>
      <c r="Z106" s="15">
        <v>3691.2721999999999</v>
      </c>
      <c r="AA106" s="23">
        <v>46136</v>
      </c>
      <c r="AB106" s="15">
        <v>2516.2031000000002</v>
      </c>
      <c r="AC106" s="23">
        <v>46136</v>
      </c>
      <c r="AD106" s="15">
        <v>377.59210000000002</v>
      </c>
      <c r="AE106" s="23">
        <v>46136</v>
      </c>
      <c r="AF106" s="15">
        <v>1275.2520999999999</v>
      </c>
      <c r="AG106" s="23">
        <v>46136</v>
      </c>
      <c r="AH106" s="15">
        <v>1532.9258</v>
      </c>
    </row>
    <row r="107" spans="1:34">
      <c r="A107" s="23">
        <v>46143</v>
      </c>
      <c r="B107" s="15">
        <v>118.9781</v>
      </c>
      <c r="C107" s="23">
        <v>46143</v>
      </c>
      <c r="D107" s="15">
        <v>1136.2224000000001</v>
      </c>
      <c r="E107" s="23">
        <v>46138</v>
      </c>
      <c r="F107" s="15">
        <v>791.05889999999999</v>
      </c>
      <c r="G107" s="23">
        <v>46143</v>
      </c>
      <c r="H107" s="15">
        <v>498.40690000000001</v>
      </c>
      <c r="I107" s="23">
        <v>46143</v>
      </c>
      <c r="J107" s="15">
        <v>2242.0873999999999</v>
      </c>
      <c r="K107" s="23">
        <v>46143</v>
      </c>
      <c r="L107" s="15">
        <v>1186.3226</v>
      </c>
      <c r="M107" s="23">
        <v>46143</v>
      </c>
      <c r="N107" s="15">
        <v>333.80309999999997</v>
      </c>
      <c r="O107" s="23">
        <v>46143</v>
      </c>
      <c r="P107" s="15">
        <v>94.288200000000003</v>
      </c>
      <c r="Q107" s="23">
        <v>46143</v>
      </c>
      <c r="R107" s="15">
        <v>716.29179999999997</v>
      </c>
      <c r="S107" s="23">
        <v>46143</v>
      </c>
      <c r="T107" s="15">
        <v>791.06629999999996</v>
      </c>
      <c r="U107" s="23">
        <v>46143</v>
      </c>
      <c r="V107" s="15">
        <v>66.948999999999998</v>
      </c>
      <c r="W107" s="23">
        <v>46143</v>
      </c>
      <c r="X107" s="15">
        <v>544.61019999999996</v>
      </c>
      <c r="Y107" s="23">
        <v>46143</v>
      </c>
      <c r="Z107" s="15">
        <v>3687.8814000000002</v>
      </c>
      <c r="AA107" s="23">
        <v>46143</v>
      </c>
      <c r="AB107" s="15">
        <v>2534.6502</v>
      </c>
      <c r="AC107" s="23">
        <v>46143</v>
      </c>
      <c r="AD107" s="15">
        <v>378.18619999999999</v>
      </c>
      <c r="AE107" s="23">
        <v>46143</v>
      </c>
      <c r="AF107" s="15">
        <v>1291.2895000000001</v>
      </c>
      <c r="AG107" s="23">
        <v>46143</v>
      </c>
      <c r="AH107" s="15">
        <v>1534.5524</v>
      </c>
    </row>
    <row r="108" spans="1:34">
      <c r="A108" s="24">
        <v>46150</v>
      </c>
      <c r="B108" s="15">
        <v>119.76909999999999</v>
      </c>
      <c r="C108" s="23">
        <v>46150</v>
      </c>
      <c r="D108" s="15">
        <v>1114.0142000000001</v>
      </c>
      <c r="E108" s="23">
        <v>46145</v>
      </c>
      <c r="F108" s="15">
        <v>824.63040000000001</v>
      </c>
      <c r="G108" s="23">
        <v>46150</v>
      </c>
      <c r="H108" s="15">
        <v>490.5727</v>
      </c>
      <c r="I108" s="23">
        <v>46150</v>
      </c>
      <c r="J108" s="15">
        <v>2248.2096999999999</v>
      </c>
      <c r="K108" s="23">
        <v>46150</v>
      </c>
      <c r="L108" s="15">
        <v>1181.9746</v>
      </c>
      <c r="M108" s="23">
        <v>46150</v>
      </c>
      <c r="N108" s="15">
        <v>334.5643</v>
      </c>
      <c r="O108" s="23">
        <v>46150</v>
      </c>
      <c r="P108" s="15">
        <v>91.992699999999999</v>
      </c>
      <c r="Q108" s="23">
        <v>46150</v>
      </c>
      <c r="R108" s="15">
        <v>716.68700000000001</v>
      </c>
      <c r="S108" s="23">
        <v>46150</v>
      </c>
      <c r="T108" s="15">
        <v>791.6617</v>
      </c>
      <c r="U108" s="23">
        <v>46150</v>
      </c>
      <c r="V108" s="15">
        <v>67.086699999999993</v>
      </c>
      <c r="W108" s="23">
        <v>46150</v>
      </c>
      <c r="X108" s="15">
        <v>545.82690000000002</v>
      </c>
      <c r="Y108" s="23">
        <v>46150</v>
      </c>
      <c r="Z108" s="15">
        <v>3697.9259999999999</v>
      </c>
      <c r="AA108" s="23">
        <v>46150</v>
      </c>
      <c r="AB108" s="15">
        <v>2535.4475000000002</v>
      </c>
      <c r="AC108" s="23">
        <v>46150</v>
      </c>
      <c r="AD108" s="15">
        <v>379.49680000000001</v>
      </c>
      <c r="AE108" s="23">
        <v>46150</v>
      </c>
      <c r="AF108" s="15">
        <v>1294.5266999999999</v>
      </c>
      <c r="AG108" s="23">
        <v>46150</v>
      </c>
      <c r="AH108" s="15">
        <v>1551.3096</v>
      </c>
    </row>
    <row r="109" spans="1:34">
      <c r="A109" s="23">
        <v>46157</v>
      </c>
      <c r="B109" s="15">
        <v>120.4011</v>
      </c>
      <c r="C109" s="23">
        <v>46157</v>
      </c>
      <c r="D109" s="15">
        <v>1109.2002</v>
      </c>
      <c r="E109" s="23">
        <v>46152</v>
      </c>
      <c r="F109" s="15">
        <v>840.94230000000005</v>
      </c>
      <c r="G109" s="23">
        <v>46157</v>
      </c>
      <c r="H109" s="15">
        <v>489.78320000000002</v>
      </c>
      <c r="I109" s="23">
        <v>46157</v>
      </c>
      <c r="J109" s="15">
        <v>2230.9657000000002</v>
      </c>
      <c r="K109" s="23">
        <v>46157</v>
      </c>
      <c r="L109" s="15">
        <v>1181.8715999999999</v>
      </c>
      <c r="M109" s="23">
        <v>46157</v>
      </c>
      <c r="N109" s="15">
        <v>335.34059999999999</v>
      </c>
      <c r="O109" s="23">
        <v>46157</v>
      </c>
      <c r="P109" s="15">
        <v>92.060299999999998</v>
      </c>
      <c r="Q109" s="23">
        <v>46157</v>
      </c>
      <c r="R109" s="15">
        <v>721.97749999999996</v>
      </c>
      <c r="S109" s="23">
        <v>46157</v>
      </c>
      <c r="T109" s="15">
        <v>794.98530000000005</v>
      </c>
      <c r="U109" s="23">
        <v>46157</v>
      </c>
      <c r="V109" s="15">
        <v>68.037099999999995</v>
      </c>
      <c r="W109" s="23">
        <v>46157</v>
      </c>
      <c r="X109" s="15">
        <v>545.51660000000004</v>
      </c>
      <c r="Y109" s="23">
        <v>46157</v>
      </c>
      <c r="Z109" s="15">
        <v>3706.7755000000002</v>
      </c>
      <c r="AA109" s="23">
        <v>46157</v>
      </c>
      <c r="AB109" s="15">
        <v>2796.1637000000001</v>
      </c>
      <c r="AC109" s="23">
        <v>46157</v>
      </c>
      <c r="AD109" s="15">
        <v>380.29090000000002</v>
      </c>
      <c r="AE109" s="23">
        <v>46157</v>
      </c>
      <c r="AF109" s="15">
        <v>1290.7619999999999</v>
      </c>
      <c r="AG109" s="23">
        <v>46157</v>
      </c>
      <c r="AH109" s="15">
        <v>1553.6207999999999</v>
      </c>
    </row>
    <row r="110" spans="1:34">
      <c r="A110" s="11"/>
      <c r="B110" s="15"/>
      <c r="C110" s="15"/>
      <c r="D110" s="15"/>
      <c r="E110" s="23">
        <v>46159</v>
      </c>
      <c r="F110" s="15">
        <v>849.74540000000002</v>
      </c>
      <c r="G110" s="23"/>
      <c r="H110" s="15"/>
      <c r="I110" s="23"/>
      <c r="J110" s="15"/>
      <c r="K110" s="23"/>
      <c r="L110" s="15"/>
      <c r="M110" s="23"/>
      <c r="N110" s="15"/>
      <c r="O110" s="23"/>
      <c r="P110" s="15"/>
      <c r="Q110" s="23"/>
      <c r="R110" s="15"/>
      <c r="S110" s="23"/>
      <c r="T110" s="15"/>
      <c r="U110" s="23"/>
      <c r="V110" s="15"/>
      <c r="W110" s="23"/>
      <c r="X110" s="15"/>
      <c r="Y110" s="23"/>
      <c r="Z110" s="15"/>
      <c r="AA110" s="23"/>
      <c r="AB110" s="15"/>
      <c r="AC110" s="23"/>
      <c r="AD110" s="15"/>
      <c r="AE110" s="23"/>
      <c r="AF110" s="15"/>
      <c r="AG110" s="23"/>
      <c r="AH110" s="15"/>
    </row>
    <row r="111" spans="1:34">
      <c r="A111" s="13"/>
      <c r="B111" s="15"/>
      <c r="C111" s="15"/>
      <c r="D111" s="15"/>
      <c r="E111" s="23"/>
      <c r="F111" s="15"/>
      <c r="G111" s="23"/>
      <c r="H111" s="15"/>
      <c r="I111" s="23"/>
      <c r="J111" s="15"/>
      <c r="K111" s="23"/>
      <c r="L111" s="15"/>
      <c r="M111" s="23"/>
      <c r="N111" s="15"/>
      <c r="O111" s="23"/>
      <c r="P111" s="15"/>
      <c r="Q111" s="23"/>
      <c r="R111" s="15"/>
      <c r="S111" s="23"/>
      <c r="T111" s="15"/>
      <c r="U111" s="23"/>
      <c r="V111" s="15"/>
      <c r="W111" s="23"/>
      <c r="X111" s="15"/>
      <c r="Y111" s="23"/>
      <c r="Z111" s="15"/>
      <c r="AA111" s="23"/>
      <c r="AB111" s="15"/>
      <c r="AC111" s="23"/>
      <c r="AD111" s="15"/>
      <c r="AE111" s="23"/>
      <c r="AF111" s="15"/>
      <c r="AG111" s="23"/>
      <c r="AH111" s="15"/>
    </row>
    <row r="113" spans="2:124">
      <c r="B113" s="20"/>
      <c r="C113" s="20"/>
    </row>
    <row r="114" spans="2:124">
      <c r="B114" s="21"/>
      <c r="C114" s="21"/>
    </row>
    <row r="115" spans="2:124">
      <c r="B115" s="21"/>
      <c r="C115" s="21"/>
    </row>
    <row r="116" spans="2:124">
      <c r="B116" s="21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</row>
    <row r="117" spans="2:124">
      <c r="B117" s="21"/>
      <c r="C117" s="21"/>
    </row>
    <row r="118" spans="2:124">
      <c r="B118" s="21"/>
      <c r="C118" s="21"/>
    </row>
    <row r="119" spans="2:124">
      <c r="B119" s="21"/>
      <c r="C119" s="21"/>
    </row>
    <row r="120" spans="2:124">
      <c r="B120" s="21"/>
      <c r="C120" s="21"/>
    </row>
    <row r="121" spans="2:124">
      <c r="B121" s="21"/>
      <c r="C121" s="21"/>
    </row>
    <row r="122" spans="2:124">
      <c r="B122" s="21"/>
      <c r="C122" s="21"/>
    </row>
    <row r="123" spans="2:124">
      <c r="B123" s="21"/>
      <c r="C123" s="21"/>
    </row>
    <row r="124" spans="2:124">
      <c r="B124" s="21"/>
      <c r="C124" s="21"/>
    </row>
    <row r="125" spans="2:124">
      <c r="B125" s="21"/>
      <c r="C125" s="21"/>
    </row>
    <row r="126" spans="2:124">
      <c r="B126" s="21"/>
      <c r="C126" s="21"/>
    </row>
    <row r="127" spans="2:124">
      <c r="B127" s="21"/>
      <c r="C127" s="21"/>
    </row>
    <row r="128" spans="2:124">
      <c r="B128" s="21"/>
      <c r="C128" s="21"/>
    </row>
    <row r="129" spans="2:3">
      <c r="B129" s="21"/>
      <c r="C129" s="21"/>
    </row>
    <row r="130" spans="2:3">
      <c r="B130" s="21"/>
      <c r="C130" s="21"/>
    </row>
    <row r="131" spans="2:3">
      <c r="B131" s="21"/>
      <c r="C131" s="21"/>
    </row>
    <row r="132" spans="2:3">
      <c r="B132" s="21"/>
      <c r="C132" s="21"/>
    </row>
    <row r="133" spans="2:3">
      <c r="B133" s="21"/>
      <c r="C133" s="21"/>
    </row>
    <row r="134" spans="2:3">
      <c r="B134" s="21"/>
      <c r="C134" s="21"/>
    </row>
    <row r="135" spans="2:3">
      <c r="B135" s="21"/>
      <c r="C135" s="21"/>
    </row>
    <row r="136" spans="2:3">
      <c r="B136" s="21"/>
      <c r="C136" s="21"/>
    </row>
    <row r="137" spans="2:3">
      <c r="B137" s="21"/>
      <c r="C137" s="21"/>
    </row>
    <row r="138" spans="2:3">
      <c r="B138" s="21"/>
      <c r="C138" s="21"/>
    </row>
    <row r="139" spans="2:3">
      <c r="B139" s="21"/>
      <c r="C139" s="21"/>
    </row>
    <row r="140" spans="2:3">
      <c r="B140" s="21"/>
      <c r="C140" s="21"/>
    </row>
    <row r="141" spans="2:3">
      <c r="B141" s="21"/>
      <c r="C141" s="21"/>
    </row>
    <row r="142" spans="2:3">
      <c r="B142" s="21"/>
      <c r="C142" s="21"/>
    </row>
    <row r="143" spans="2:3">
      <c r="B143" s="21"/>
      <c r="C143" s="21"/>
    </row>
    <row r="144" spans="2:3">
      <c r="B144" s="21"/>
      <c r="C144" s="21"/>
    </row>
    <row r="145" spans="2:3">
      <c r="B145" s="21"/>
      <c r="C145" s="21"/>
    </row>
    <row r="146" spans="2:3">
      <c r="B146" s="21"/>
      <c r="C146" s="21"/>
    </row>
    <row r="147" spans="2:3">
      <c r="B147" s="21"/>
      <c r="C147" s="21"/>
    </row>
    <row r="148" spans="2:3">
      <c r="B148" s="21"/>
      <c r="C148" s="21"/>
    </row>
    <row r="149" spans="2:3">
      <c r="B149" s="21"/>
      <c r="C149" s="21"/>
    </row>
    <row r="150" spans="2:3">
      <c r="B150" s="21"/>
      <c r="C150" s="21"/>
    </row>
    <row r="151" spans="2:3">
      <c r="B151" s="21"/>
      <c r="C151" s="21"/>
    </row>
    <row r="152" spans="2:3">
      <c r="B152" s="21"/>
      <c r="C152" s="21"/>
    </row>
    <row r="153" spans="2:3">
      <c r="B153" s="21"/>
      <c r="C153" s="21"/>
    </row>
    <row r="154" spans="2:3">
      <c r="B154" s="21"/>
      <c r="C154" s="21"/>
    </row>
    <row r="155" spans="2:3">
      <c r="B155" s="21"/>
      <c r="C155" s="21"/>
    </row>
    <row r="156" spans="2:3">
      <c r="B156" s="21"/>
      <c r="C156" s="21"/>
    </row>
    <row r="157" spans="2:3">
      <c r="B157" s="21"/>
      <c r="C157" s="21"/>
    </row>
    <row r="158" spans="2:3">
      <c r="B158" s="21"/>
      <c r="C158" s="21"/>
    </row>
    <row r="159" spans="2:3">
      <c r="B159" s="21"/>
      <c r="C159" s="21"/>
    </row>
    <row r="160" spans="2:3">
      <c r="B160" s="21"/>
      <c r="C160" s="21"/>
    </row>
    <row r="161" spans="2:3">
      <c r="B161" s="21"/>
      <c r="C161" s="21"/>
    </row>
    <row r="162" spans="2:3">
      <c r="B162" s="21"/>
      <c r="C162" s="21"/>
    </row>
    <row r="163" spans="2:3">
      <c r="B163" s="21"/>
      <c r="C163" s="21"/>
    </row>
    <row r="164" spans="2:3">
      <c r="B164" s="21"/>
      <c r="C164" s="21"/>
    </row>
    <row r="165" spans="2:3">
      <c r="B165" s="21"/>
      <c r="C165" s="21"/>
    </row>
    <row r="166" spans="2:3">
      <c r="B166" s="21"/>
      <c r="C166" s="21"/>
    </row>
    <row r="167" spans="2:3">
      <c r="B167" s="21"/>
      <c r="C167" s="21"/>
    </row>
    <row r="168" spans="2:3">
      <c r="B168" s="21"/>
      <c r="C168" s="21"/>
    </row>
    <row r="169" spans="2:3">
      <c r="B169" s="21"/>
      <c r="C169" s="21"/>
    </row>
    <row r="170" spans="2:3">
      <c r="B170" s="21"/>
      <c r="C170" s="21"/>
    </row>
    <row r="171" spans="2:3">
      <c r="B171" s="21"/>
      <c r="C171" s="21"/>
    </row>
    <row r="172" spans="2:3">
      <c r="B172" s="21"/>
      <c r="C172" s="21"/>
    </row>
    <row r="173" spans="2:3">
      <c r="B173" s="21"/>
      <c r="C173" s="21"/>
    </row>
    <row r="174" spans="2:3">
      <c r="B174" s="21"/>
      <c r="C174" s="21"/>
    </row>
    <row r="175" spans="2:3">
      <c r="B175" s="21"/>
      <c r="C175" s="21"/>
    </row>
    <row r="176" spans="2:3">
      <c r="B176" s="21"/>
      <c r="C176" s="21"/>
    </row>
    <row r="177" spans="2:3">
      <c r="B177" s="21"/>
      <c r="C177" s="21"/>
    </row>
    <row r="178" spans="2:3">
      <c r="B178" s="21"/>
      <c r="C178" s="21"/>
    </row>
    <row r="179" spans="2:3">
      <c r="B179" s="21"/>
      <c r="C179" s="21"/>
    </row>
    <row r="180" spans="2:3">
      <c r="B180" s="21"/>
      <c r="C180" s="21"/>
    </row>
    <row r="181" spans="2:3">
      <c r="B181" s="21"/>
      <c r="C181" s="21"/>
    </row>
    <row r="182" spans="2:3">
      <c r="B182" s="21"/>
      <c r="C182" s="21"/>
    </row>
    <row r="183" spans="2:3">
      <c r="B183" s="21"/>
      <c r="C183" s="21"/>
    </row>
    <row r="184" spans="2:3">
      <c r="B184" s="21"/>
      <c r="C184" s="21"/>
    </row>
    <row r="185" spans="2:3">
      <c r="B185" s="21"/>
      <c r="C185" s="21"/>
    </row>
    <row r="186" spans="2:3">
      <c r="B186" s="21"/>
      <c r="C186" s="21"/>
    </row>
    <row r="187" spans="2:3">
      <c r="B187" s="21"/>
      <c r="C187" s="21"/>
    </row>
    <row r="188" spans="2:3">
      <c r="B188" s="21"/>
      <c r="C188" s="21"/>
    </row>
    <row r="189" spans="2:3">
      <c r="B189" s="21"/>
      <c r="C189" s="21"/>
    </row>
    <row r="190" spans="2:3">
      <c r="B190" s="21"/>
      <c r="C190" s="21"/>
    </row>
    <row r="191" spans="2:3">
      <c r="B191" s="21"/>
      <c r="C191" s="21"/>
    </row>
    <row r="192" spans="2:3">
      <c r="B192" s="21"/>
      <c r="C192" s="21"/>
    </row>
    <row r="193" spans="2:3">
      <c r="B193" s="21"/>
      <c r="C193" s="21"/>
    </row>
    <row r="194" spans="2:3">
      <c r="B194" s="21"/>
      <c r="C194" s="21"/>
    </row>
    <row r="195" spans="2:3">
      <c r="B195" s="21"/>
      <c r="C195" s="21"/>
    </row>
    <row r="196" spans="2:3">
      <c r="B196" s="21"/>
      <c r="C196" s="21"/>
    </row>
    <row r="197" spans="2:3">
      <c r="B197" s="21"/>
      <c r="C197" s="21"/>
    </row>
    <row r="198" spans="2:3">
      <c r="B198" s="21"/>
      <c r="C198" s="21"/>
    </row>
    <row r="199" spans="2:3">
      <c r="B199" s="21"/>
      <c r="C199" s="21"/>
    </row>
    <row r="200" spans="2:3">
      <c r="B200" s="21"/>
      <c r="C200" s="21"/>
    </row>
    <row r="201" spans="2:3">
      <c r="B201" s="21"/>
      <c r="C201" s="21"/>
    </row>
    <row r="202" spans="2:3">
      <c r="B202" s="21"/>
      <c r="C202" s="21"/>
    </row>
    <row r="203" spans="2:3">
      <c r="B203" s="21"/>
      <c r="C203" s="21"/>
    </row>
    <row r="204" spans="2:3">
      <c r="B204" s="21"/>
      <c r="C204" s="21"/>
    </row>
    <row r="205" spans="2:3">
      <c r="B205" s="21"/>
      <c r="C205" s="21"/>
    </row>
    <row r="206" spans="2:3">
      <c r="B206" s="21"/>
      <c r="C206" s="21"/>
    </row>
    <row r="207" spans="2:3">
      <c r="B207" s="21"/>
      <c r="C207" s="21"/>
    </row>
    <row r="208" spans="2:3">
      <c r="B208" s="21"/>
      <c r="C208" s="21"/>
    </row>
    <row r="209" spans="2:3">
      <c r="B209" s="21"/>
      <c r="C209" s="21"/>
    </row>
    <row r="210" spans="2:3">
      <c r="B210" s="21"/>
      <c r="C210" s="21"/>
    </row>
    <row r="211" spans="2:3">
      <c r="B211" s="21"/>
      <c r="C211" s="21"/>
    </row>
    <row r="212" spans="2:3">
      <c r="B212" s="21"/>
      <c r="C212" s="21"/>
    </row>
    <row r="213" spans="2:3">
      <c r="B213" s="21"/>
      <c r="C213" s="21"/>
    </row>
    <row r="214" spans="2:3">
      <c r="B214" s="21"/>
      <c r="C214" s="21"/>
    </row>
    <row r="215" spans="2:3">
      <c r="B215" s="21"/>
      <c r="C215" s="21"/>
    </row>
    <row r="216" spans="2:3">
      <c r="B216" s="21"/>
      <c r="C216" s="21"/>
    </row>
    <row r="217" spans="2:3">
      <c r="B217" s="21"/>
      <c r="C217" s="21"/>
    </row>
    <row r="218" spans="2:3">
      <c r="B218" s="20"/>
      <c r="C218" s="20"/>
    </row>
    <row r="219" spans="2:3">
      <c r="B219" s="20"/>
      <c r="C219" s="20"/>
    </row>
    <row r="220" spans="2:3">
      <c r="B220" s="20"/>
      <c r="C220" s="20"/>
    </row>
  </sheetData>
  <phoneticPr fontId="9" type="noConversion"/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3"/>
  <sheetViews>
    <sheetView workbookViewId="0">
      <pane xSplit="1" ySplit="5" topLeftCell="B12" activePane="bottomRight" state="frozen"/>
      <selection pane="topRight"/>
      <selection pane="bottomLeft"/>
      <selection pane="bottomRight" activeCell="H28" sqref="H28"/>
    </sheetView>
  </sheetViews>
  <sheetFormatPr defaultRowHeight="15"/>
  <cols>
    <col min="1" max="18" width="13" customWidth="1"/>
  </cols>
  <sheetData>
    <row r="1" spans="1:18" ht="18">
      <c r="A1" s="1" t="s">
        <v>168</v>
      </c>
    </row>
    <row r="2" spans="1:18">
      <c r="A2" s="2" t="s">
        <v>169</v>
      </c>
    </row>
    <row r="3" spans="1:18">
      <c r="B3" s="6" t="s">
        <v>52</v>
      </c>
      <c r="C3" s="6" t="s">
        <v>162</v>
      </c>
      <c r="D3" s="6" t="s">
        <v>163</v>
      </c>
      <c r="E3" s="6" t="s">
        <v>56</v>
      </c>
      <c r="F3" s="6" t="s">
        <v>60</v>
      </c>
      <c r="G3" s="6" t="s">
        <v>63</v>
      </c>
      <c r="H3" s="6" t="s">
        <v>162</v>
      </c>
      <c r="I3" s="6" t="s">
        <v>162</v>
      </c>
      <c r="J3" s="6" t="s">
        <v>65</v>
      </c>
      <c r="K3" s="6" t="s">
        <v>164</v>
      </c>
      <c r="L3" s="6" t="s">
        <v>67</v>
      </c>
      <c r="M3" s="6" t="s">
        <v>39</v>
      </c>
      <c r="N3" s="6" t="s">
        <v>48</v>
      </c>
      <c r="O3" s="6" t="s">
        <v>42</v>
      </c>
      <c r="P3" s="6" t="s">
        <v>69</v>
      </c>
      <c r="Q3" s="6" t="s">
        <v>46</v>
      </c>
      <c r="R3" s="6" t="s">
        <v>58</v>
      </c>
    </row>
    <row r="4" spans="1:18">
      <c r="A4" s="7" t="s">
        <v>110</v>
      </c>
      <c r="B4" s="8" t="s">
        <v>74</v>
      </c>
      <c r="C4" s="8" t="s">
        <v>76</v>
      </c>
      <c r="D4" s="8" t="s">
        <v>78</v>
      </c>
      <c r="E4" s="8" t="s">
        <v>80</v>
      </c>
      <c r="F4" s="8" t="s">
        <v>82</v>
      </c>
      <c r="G4" s="8" t="s">
        <v>84</v>
      </c>
      <c r="H4" s="8" t="s">
        <v>86</v>
      </c>
      <c r="I4" s="8" t="s">
        <v>88</v>
      </c>
      <c r="J4" s="8" t="s">
        <v>90</v>
      </c>
      <c r="K4" s="8" t="s">
        <v>92</v>
      </c>
      <c r="L4" s="8" t="s">
        <v>94</v>
      </c>
      <c r="M4" s="8" t="s">
        <v>96</v>
      </c>
      <c r="N4" s="8" t="s">
        <v>98</v>
      </c>
      <c r="O4" s="8" t="s">
        <v>100</v>
      </c>
      <c r="P4" s="8" t="s">
        <v>102</v>
      </c>
      <c r="Q4" s="8" t="s">
        <v>104</v>
      </c>
      <c r="R4" s="8" t="s">
        <v>106</v>
      </c>
    </row>
    <row r="5" spans="1:18">
      <c r="A5" s="9" t="s">
        <v>111</v>
      </c>
      <c r="B5" s="10" t="s">
        <v>271</v>
      </c>
      <c r="C5" s="10" t="s">
        <v>259</v>
      </c>
      <c r="D5" s="10" t="s">
        <v>256</v>
      </c>
      <c r="E5" s="10" t="s">
        <v>272</v>
      </c>
      <c r="F5" s="10" t="s">
        <v>257</v>
      </c>
      <c r="G5" s="10" t="s">
        <v>258</v>
      </c>
      <c r="H5" s="10" t="s">
        <v>260</v>
      </c>
      <c r="I5" s="10" t="s">
        <v>261</v>
      </c>
      <c r="J5" s="10" t="s">
        <v>262</v>
      </c>
      <c r="K5" s="10" t="s">
        <v>263</v>
      </c>
      <c r="L5" s="10" t="s">
        <v>264</v>
      </c>
      <c r="M5" s="10" t="s">
        <v>265</v>
      </c>
      <c r="N5" s="10" t="s">
        <v>266</v>
      </c>
      <c r="O5" s="10" t="s">
        <v>267</v>
      </c>
      <c r="P5" s="10" t="s">
        <v>268</v>
      </c>
      <c r="Q5" s="10" t="s">
        <v>269</v>
      </c>
      <c r="R5" s="10" t="s">
        <v>270</v>
      </c>
    </row>
    <row r="6" spans="1:18">
      <c r="A6" s="24">
        <f>_xll.BQL($B$5:$R$5, "dropna(px_last(dates=range(2026-01-01, 2026-05-19), per=D))", "showids", "false", "showheaders", "false", "showallcols", "false","cols=18;rows=98")</f>
        <v>46024</v>
      </c>
      <c r="B6" s="15">
        <v>1870.5170000000001</v>
      </c>
      <c r="C6" s="15">
        <v>25206.17</v>
      </c>
      <c r="D6" s="15">
        <v>4309.63</v>
      </c>
      <c r="E6" s="15">
        <v>8727.7530000000006</v>
      </c>
      <c r="F6" s="15">
        <v>26338.47</v>
      </c>
      <c r="G6" s="15" t="e">
        <v>#N/A</v>
      </c>
      <c r="H6" s="15">
        <v>6858.47</v>
      </c>
      <c r="I6" s="15">
        <v>2508.223</v>
      </c>
      <c r="J6" s="15" t="e">
        <v>#N/A</v>
      </c>
      <c r="K6" s="15">
        <v>9951.14</v>
      </c>
      <c r="L6" s="15">
        <v>967.59</v>
      </c>
      <c r="M6" s="15">
        <v>8195.2099999999991</v>
      </c>
      <c r="N6" s="15">
        <v>45374.03</v>
      </c>
      <c r="O6" s="15" t="e">
        <v>#N/A</v>
      </c>
      <c r="P6" s="15">
        <v>5850.38</v>
      </c>
      <c r="Q6" s="15">
        <v>17492.400000000001</v>
      </c>
      <c r="R6" s="15">
        <v>24539.34</v>
      </c>
    </row>
    <row r="7" spans="1:18">
      <c r="A7" s="23">
        <v>46027</v>
      </c>
      <c r="B7" s="15">
        <v>1887.768</v>
      </c>
      <c r="C7" s="15">
        <v>25401.32</v>
      </c>
      <c r="D7" s="15">
        <v>4457.5200000000004</v>
      </c>
      <c r="E7" s="15">
        <v>8728.6280000000006</v>
      </c>
      <c r="F7" s="15">
        <v>26347.24</v>
      </c>
      <c r="G7" s="15">
        <v>15548.46</v>
      </c>
      <c r="H7" s="15">
        <v>6902.05</v>
      </c>
      <c r="I7" s="15">
        <v>2547.92</v>
      </c>
      <c r="J7" s="15">
        <v>13247.32</v>
      </c>
      <c r="K7" s="15">
        <v>10004.57</v>
      </c>
      <c r="L7" s="15">
        <v>985.12</v>
      </c>
      <c r="M7" s="15">
        <v>8211.5</v>
      </c>
      <c r="N7" s="15">
        <v>45847.32</v>
      </c>
      <c r="O7" s="15">
        <v>51832.800000000003</v>
      </c>
      <c r="P7" s="15">
        <v>5923.69</v>
      </c>
      <c r="Q7" s="15">
        <v>17614.400000000001</v>
      </c>
      <c r="R7" s="15">
        <v>24868.69</v>
      </c>
    </row>
    <row r="8" spans="1:18">
      <c r="A8" s="24">
        <v>46028</v>
      </c>
      <c r="B8" s="15">
        <v>1895.8489999999999</v>
      </c>
      <c r="C8" s="15">
        <v>25639.71</v>
      </c>
      <c r="D8" s="15">
        <v>4525.4799999999996</v>
      </c>
      <c r="E8" s="15">
        <v>8682.7520000000004</v>
      </c>
      <c r="F8" s="15">
        <v>26710.45</v>
      </c>
      <c r="G8" s="15">
        <v>15705.46</v>
      </c>
      <c r="H8" s="15">
        <v>6944.82</v>
      </c>
      <c r="I8" s="15">
        <v>2582.8980000000001</v>
      </c>
      <c r="J8" s="15">
        <v>13322.15</v>
      </c>
      <c r="K8" s="15">
        <v>10122.73</v>
      </c>
      <c r="L8" s="15">
        <v>991.67</v>
      </c>
      <c r="M8" s="15">
        <v>8237.43</v>
      </c>
      <c r="N8" s="15">
        <v>45753.43</v>
      </c>
      <c r="O8" s="15">
        <v>52518.080000000002</v>
      </c>
      <c r="P8" s="15">
        <v>5931.79</v>
      </c>
      <c r="Q8" s="15">
        <v>17647.099999999999</v>
      </c>
      <c r="R8" s="15">
        <v>24892.2</v>
      </c>
    </row>
    <row r="9" spans="1:18">
      <c r="A9" s="23">
        <v>46029</v>
      </c>
      <c r="B9" s="15">
        <v>1879.682</v>
      </c>
      <c r="C9" s="15">
        <v>25653.9</v>
      </c>
      <c r="D9" s="15">
        <v>4551.0600000000004</v>
      </c>
      <c r="E9" s="15">
        <v>8695.5669999999991</v>
      </c>
      <c r="F9" s="15">
        <v>26458.95</v>
      </c>
      <c r="G9" s="15">
        <v>15618.75</v>
      </c>
      <c r="H9" s="15">
        <v>6920.93</v>
      </c>
      <c r="I9" s="15">
        <v>2575.424</v>
      </c>
      <c r="J9" s="15">
        <v>13324.03</v>
      </c>
      <c r="K9" s="15">
        <v>10048.209999999999</v>
      </c>
      <c r="L9" s="15">
        <v>979.15</v>
      </c>
      <c r="M9" s="15">
        <v>8233.92</v>
      </c>
      <c r="N9" s="15">
        <v>45558.68</v>
      </c>
      <c r="O9" s="15">
        <v>51961.98</v>
      </c>
      <c r="P9" s="15">
        <v>5923.57</v>
      </c>
      <c r="Q9" s="15">
        <v>17596.400000000001</v>
      </c>
      <c r="R9" s="15">
        <v>25122.26</v>
      </c>
    </row>
    <row r="10" spans="1:18">
      <c r="A10" s="24">
        <v>46030</v>
      </c>
      <c r="B10" s="15">
        <v>1896.251</v>
      </c>
      <c r="C10" s="15">
        <v>25507.1</v>
      </c>
      <c r="D10" s="15">
        <v>4552.37</v>
      </c>
      <c r="E10" s="15">
        <v>8720.7639999999992</v>
      </c>
      <c r="F10" s="15">
        <v>26149.31</v>
      </c>
      <c r="G10" s="15">
        <v>15477.08</v>
      </c>
      <c r="H10" s="15">
        <v>6921.46</v>
      </c>
      <c r="I10" s="15">
        <v>2603.9050000000002</v>
      </c>
      <c r="J10" s="15">
        <v>13350.82</v>
      </c>
      <c r="K10" s="15">
        <v>10044.69</v>
      </c>
      <c r="L10" s="15">
        <v>965.03</v>
      </c>
      <c r="M10" s="15">
        <v>8243.4699999999993</v>
      </c>
      <c r="N10" s="15">
        <v>45671.7</v>
      </c>
      <c r="O10" s="15">
        <v>51117.26</v>
      </c>
      <c r="P10" s="15">
        <v>5904.32</v>
      </c>
      <c r="Q10" s="15">
        <v>17654.7</v>
      </c>
      <c r="R10" s="15">
        <v>25127.46</v>
      </c>
    </row>
    <row r="11" spans="1:18">
      <c r="A11" s="23">
        <v>46031</v>
      </c>
      <c r="B11" s="15">
        <v>1906.7149999999999</v>
      </c>
      <c r="C11" s="15">
        <v>25766.26</v>
      </c>
      <c r="D11" s="15">
        <v>4586.32</v>
      </c>
      <c r="E11" s="15">
        <v>8717.8459999999995</v>
      </c>
      <c r="F11" s="15">
        <v>26231.79</v>
      </c>
      <c r="G11" s="15">
        <v>15503.1</v>
      </c>
      <c r="H11" s="15">
        <v>6966.28</v>
      </c>
      <c r="I11" s="15">
        <v>2624.2240000000002</v>
      </c>
      <c r="J11" s="15">
        <v>13421.82</v>
      </c>
      <c r="K11" s="15">
        <v>10124.6</v>
      </c>
      <c r="L11" s="15">
        <v>988.17</v>
      </c>
      <c r="M11" s="15">
        <v>8362.09</v>
      </c>
      <c r="N11" s="15">
        <v>45719.26</v>
      </c>
      <c r="O11" s="15">
        <v>51939.89</v>
      </c>
      <c r="P11" s="15">
        <v>5997.47</v>
      </c>
      <c r="Q11" s="15">
        <v>17649</v>
      </c>
      <c r="R11" s="15">
        <v>25261.64</v>
      </c>
    </row>
    <row r="12" spans="1:18">
      <c r="A12" s="24">
        <v>46034</v>
      </c>
      <c r="B12" s="15">
        <v>1917.4590000000001</v>
      </c>
      <c r="C12" s="15">
        <v>25787.66</v>
      </c>
      <c r="D12" s="15">
        <v>4624.79</v>
      </c>
      <c r="E12" s="15">
        <v>8759.3940000000002</v>
      </c>
      <c r="F12" s="15">
        <v>26608.48</v>
      </c>
      <c r="G12" s="15">
        <v>15494.08</v>
      </c>
      <c r="H12" s="15">
        <v>6977.27</v>
      </c>
      <c r="I12" s="15">
        <v>2635.694</v>
      </c>
      <c r="J12" s="15">
        <v>13426.98</v>
      </c>
      <c r="K12" s="15">
        <v>10140.700000000001</v>
      </c>
      <c r="L12" s="15">
        <v>993.54</v>
      </c>
      <c r="M12" s="15">
        <v>8358.76</v>
      </c>
      <c r="N12" s="15">
        <v>45732.2</v>
      </c>
      <c r="O12" s="15" t="e">
        <v>#N/A</v>
      </c>
      <c r="P12" s="15">
        <v>6016.3</v>
      </c>
      <c r="Q12" s="15">
        <v>17673.8</v>
      </c>
      <c r="R12" s="15">
        <v>25405.34</v>
      </c>
    </row>
    <row r="13" spans="1:18">
      <c r="A13" s="23">
        <v>46035</v>
      </c>
      <c r="B13" s="15">
        <v>1917.67</v>
      </c>
      <c r="C13" s="15">
        <v>25741.95</v>
      </c>
      <c r="D13" s="15">
        <v>4692.6400000000003</v>
      </c>
      <c r="E13" s="15">
        <v>8808.5390000000007</v>
      </c>
      <c r="F13" s="15">
        <v>26848.47</v>
      </c>
      <c r="G13" s="15">
        <v>15417.86</v>
      </c>
      <c r="H13" s="15">
        <v>6963.74</v>
      </c>
      <c r="I13" s="15">
        <v>2633.105</v>
      </c>
      <c r="J13" s="15">
        <v>13364.73</v>
      </c>
      <c r="K13" s="15">
        <v>10137.35</v>
      </c>
      <c r="L13" s="15">
        <v>997.17</v>
      </c>
      <c r="M13" s="15">
        <v>8347.2000000000007</v>
      </c>
      <c r="N13" s="15">
        <v>45525.1</v>
      </c>
      <c r="O13" s="15">
        <v>53549.16</v>
      </c>
      <c r="P13" s="15">
        <v>6029.83</v>
      </c>
      <c r="Q13" s="15">
        <v>17687.099999999999</v>
      </c>
      <c r="R13" s="15">
        <v>25420.66</v>
      </c>
    </row>
    <row r="14" spans="1:18">
      <c r="A14" s="24">
        <v>46036</v>
      </c>
      <c r="B14" s="15">
        <v>1918.537</v>
      </c>
      <c r="C14" s="15">
        <v>25465.94</v>
      </c>
      <c r="D14" s="15">
        <v>4723.1000000000004</v>
      </c>
      <c r="E14" s="15">
        <v>8820.5939999999991</v>
      </c>
      <c r="F14" s="15">
        <v>26999.81</v>
      </c>
      <c r="G14" s="15">
        <v>15333.04</v>
      </c>
      <c r="H14" s="15">
        <v>6926.6</v>
      </c>
      <c r="I14" s="15">
        <v>2651.6370000000002</v>
      </c>
      <c r="J14" s="15">
        <v>13464.84</v>
      </c>
      <c r="K14" s="15">
        <v>10184.35</v>
      </c>
      <c r="L14" s="15">
        <v>996.75</v>
      </c>
      <c r="M14" s="15">
        <v>8330.9699999999993</v>
      </c>
      <c r="N14" s="15">
        <v>45647.4</v>
      </c>
      <c r="O14" s="15">
        <v>54341.23</v>
      </c>
      <c r="P14" s="15">
        <v>6005.05</v>
      </c>
      <c r="Q14" s="15">
        <v>17695.7</v>
      </c>
      <c r="R14" s="15">
        <v>25286.240000000002</v>
      </c>
    </row>
    <row r="15" spans="1:18">
      <c r="A15" s="23">
        <v>46037</v>
      </c>
      <c r="B15" s="15">
        <v>1924.8920000000001</v>
      </c>
      <c r="C15" s="15">
        <v>25547.08</v>
      </c>
      <c r="D15" s="15">
        <v>4797.55</v>
      </c>
      <c r="E15" s="15">
        <v>8861.6759999999995</v>
      </c>
      <c r="F15" s="15">
        <v>26923.62</v>
      </c>
      <c r="G15" s="15">
        <v>15339.74</v>
      </c>
      <c r="H15" s="15">
        <v>6944.47</v>
      </c>
      <c r="I15" s="15">
        <v>2674.5569999999998</v>
      </c>
      <c r="J15" s="15">
        <v>13476.32</v>
      </c>
      <c r="K15" s="15">
        <v>10238.94</v>
      </c>
      <c r="L15" s="15">
        <v>1011.01</v>
      </c>
      <c r="M15" s="15">
        <v>8313.1200000000008</v>
      </c>
      <c r="N15" s="15">
        <v>45849.77</v>
      </c>
      <c r="O15" s="15">
        <v>54110.5</v>
      </c>
      <c r="P15" s="15">
        <v>6041.14</v>
      </c>
      <c r="Q15" s="15">
        <v>17642.7</v>
      </c>
      <c r="R15" s="15">
        <v>25352.39</v>
      </c>
    </row>
    <row r="16" spans="1:18">
      <c r="A16" s="24">
        <v>46038</v>
      </c>
      <c r="B16" s="15">
        <v>1923.7260000000001</v>
      </c>
      <c r="C16" s="15">
        <v>25529.26</v>
      </c>
      <c r="D16" s="15">
        <v>4840.74</v>
      </c>
      <c r="E16" s="15">
        <v>8903.8549999999996</v>
      </c>
      <c r="F16" s="15">
        <v>26844.959999999999</v>
      </c>
      <c r="G16" s="15">
        <v>15233.96</v>
      </c>
      <c r="H16" s="15">
        <v>6940.01</v>
      </c>
      <c r="I16" s="15">
        <v>2677.7379999999998</v>
      </c>
      <c r="J16" s="15">
        <v>13413.59</v>
      </c>
      <c r="K16" s="15">
        <v>10235.290000000001</v>
      </c>
      <c r="L16" s="15">
        <v>1010.21</v>
      </c>
      <c r="M16" s="15">
        <v>8258.94</v>
      </c>
      <c r="N16" s="15">
        <v>45799.69</v>
      </c>
      <c r="O16" s="15">
        <v>53936.17</v>
      </c>
      <c r="P16" s="15">
        <v>6029.45</v>
      </c>
      <c r="Q16" s="15">
        <v>17710.900000000001</v>
      </c>
      <c r="R16" s="15">
        <v>25297.13</v>
      </c>
    </row>
    <row r="17" spans="1:18">
      <c r="A17" s="23">
        <v>46041</v>
      </c>
      <c r="B17" s="15">
        <v>1923.0650000000001</v>
      </c>
      <c r="C17" s="15" t="e">
        <v>#N/A</v>
      </c>
      <c r="D17" s="15">
        <v>4904.66</v>
      </c>
      <c r="E17" s="15">
        <v>8874.5069999999996</v>
      </c>
      <c r="F17" s="15">
        <v>26563.9</v>
      </c>
      <c r="G17" s="15">
        <v>15165.74</v>
      </c>
      <c r="H17" s="15" t="e">
        <v>#N/A</v>
      </c>
      <c r="I17" s="15" t="e">
        <v>#N/A</v>
      </c>
      <c r="J17" s="15">
        <v>13277.04</v>
      </c>
      <c r="K17" s="15">
        <v>10195.35</v>
      </c>
      <c r="L17" s="15">
        <v>992.73</v>
      </c>
      <c r="M17" s="15">
        <v>8112.02</v>
      </c>
      <c r="N17" s="15">
        <v>45195.89</v>
      </c>
      <c r="O17" s="15">
        <v>53583.57</v>
      </c>
      <c r="P17" s="15">
        <v>5925.82</v>
      </c>
      <c r="Q17" s="15">
        <v>17665.3</v>
      </c>
      <c r="R17" s="15">
        <v>24959.06</v>
      </c>
    </row>
    <row r="18" spans="1:18">
      <c r="A18" s="24">
        <v>46042</v>
      </c>
      <c r="B18" s="15">
        <v>1896.425</v>
      </c>
      <c r="C18" s="15">
        <v>24987.57</v>
      </c>
      <c r="D18" s="15">
        <v>4885.75</v>
      </c>
      <c r="E18" s="15">
        <v>8815.8559999999998</v>
      </c>
      <c r="F18" s="15">
        <v>26487.51</v>
      </c>
      <c r="G18" s="15">
        <v>15096.14</v>
      </c>
      <c r="H18" s="15">
        <v>6796.86</v>
      </c>
      <c r="I18" s="15">
        <v>2645.3609999999999</v>
      </c>
      <c r="J18" s="15">
        <v>13169.96</v>
      </c>
      <c r="K18" s="15">
        <v>10126.780000000001</v>
      </c>
      <c r="L18" s="15">
        <v>991.17</v>
      </c>
      <c r="M18" s="15">
        <v>8062.58</v>
      </c>
      <c r="N18" s="15">
        <v>44713.46</v>
      </c>
      <c r="O18" s="15">
        <v>52991.1</v>
      </c>
      <c r="P18" s="15">
        <v>5892.08</v>
      </c>
      <c r="Q18" s="15">
        <v>17429.099999999999</v>
      </c>
      <c r="R18" s="15">
        <v>24703.119999999999</v>
      </c>
    </row>
    <row r="19" spans="1:18">
      <c r="A19" s="23">
        <v>46043</v>
      </c>
      <c r="B19" s="15">
        <v>1903.4770000000001</v>
      </c>
      <c r="C19" s="15">
        <v>25326.58</v>
      </c>
      <c r="D19" s="15">
        <v>4909.93</v>
      </c>
      <c r="E19" s="15">
        <v>8782.8729999999996</v>
      </c>
      <c r="F19" s="15">
        <v>26585.06</v>
      </c>
      <c r="G19" s="15">
        <v>15043.51</v>
      </c>
      <c r="H19" s="15">
        <v>6875.62</v>
      </c>
      <c r="I19" s="15">
        <v>2698.172</v>
      </c>
      <c r="J19" s="15">
        <v>13156.81</v>
      </c>
      <c r="K19" s="15">
        <v>10138.09</v>
      </c>
      <c r="L19" s="15">
        <v>993.94</v>
      </c>
      <c r="M19" s="15">
        <v>8069.17</v>
      </c>
      <c r="N19" s="15">
        <v>44488.36</v>
      </c>
      <c r="O19" s="15">
        <v>52774.64</v>
      </c>
      <c r="P19" s="15">
        <v>5882.88</v>
      </c>
      <c r="Q19" s="15">
        <v>17439.5</v>
      </c>
      <c r="R19" s="15">
        <v>24560.98</v>
      </c>
    </row>
    <row r="20" spans="1:18">
      <c r="A20" s="24">
        <v>46044</v>
      </c>
      <c r="B20" s="15">
        <v>1907.463</v>
      </c>
      <c r="C20" s="15">
        <v>25518.35</v>
      </c>
      <c r="D20" s="15">
        <v>4952.53</v>
      </c>
      <c r="E20" s="15">
        <v>8848.7049999999999</v>
      </c>
      <c r="F20" s="15">
        <v>26629.96</v>
      </c>
      <c r="G20" s="15">
        <v>15001.29</v>
      </c>
      <c r="H20" s="15">
        <v>6913.35</v>
      </c>
      <c r="I20" s="15">
        <v>2718.7649999999999</v>
      </c>
      <c r="J20" s="15">
        <v>13228.4</v>
      </c>
      <c r="K20" s="15">
        <v>10150.049999999999</v>
      </c>
      <c r="L20" s="15">
        <v>1000.22</v>
      </c>
      <c r="M20" s="15">
        <v>8148.89</v>
      </c>
      <c r="N20" s="15">
        <v>45091.23</v>
      </c>
      <c r="O20" s="15">
        <v>53688.89</v>
      </c>
      <c r="P20" s="15">
        <v>5956.17</v>
      </c>
      <c r="Q20" s="15">
        <v>17663.400000000001</v>
      </c>
      <c r="R20" s="15">
        <v>24856.47</v>
      </c>
    </row>
    <row r="21" spans="1:18">
      <c r="A21" s="23">
        <v>46045</v>
      </c>
      <c r="B21" s="15">
        <v>1914.087</v>
      </c>
      <c r="C21" s="15">
        <v>25605.47</v>
      </c>
      <c r="D21" s="15">
        <v>4990.07</v>
      </c>
      <c r="E21" s="15">
        <v>8860.09</v>
      </c>
      <c r="F21" s="15">
        <v>26749.51</v>
      </c>
      <c r="G21" s="15">
        <v>14827.12</v>
      </c>
      <c r="H21" s="15">
        <v>6915.61</v>
      </c>
      <c r="I21" s="15">
        <v>2669.1619999999998</v>
      </c>
      <c r="J21" s="15">
        <v>13147.13</v>
      </c>
      <c r="K21" s="15">
        <v>10143.44</v>
      </c>
      <c r="L21" s="15">
        <v>1000.12</v>
      </c>
      <c r="M21" s="15">
        <v>8143.05</v>
      </c>
      <c r="N21" s="15">
        <v>44831.6</v>
      </c>
      <c r="O21" s="15">
        <v>53846.87</v>
      </c>
      <c r="P21" s="15">
        <v>5948.2</v>
      </c>
      <c r="Q21" s="15">
        <v>17544.400000000001</v>
      </c>
      <c r="R21" s="15">
        <v>24900.71</v>
      </c>
    </row>
    <row r="22" spans="1:18">
      <c r="A22" s="24">
        <v>46048</v>
      </c>
      <c r="B22" s="15">
        <v>1910.5640000000001</v>
      </c>
      <c r="C22" s="15">
        <v>25713.21</v>
      </c>
      <c r="D22" s="15">
        <v>4949.59</v>
      </c>
      <c r="E22" s="15" t="e">
        <v>#N/A</v>
      </c>
      <c r="F22" s="15">
        <v>26765.52</v>
      </c>
      <c r="G22" s="15">
        <v>14877.96</v>
      </c>
      <c r="H22" s="15">
        <v>6950.23</v>
      </c>
      <c r="I22" s="15">
        <v>2659.674</v>
      </c>
      <c r="J22" s="15">
        <v>13142.02</v>
      </c>
      <c r="K22" s="15">
        <v>10148.85</v>
      </c>
      <c r="L22" s="15">
        <v>998.74</v>
      </c>
      <c r="M22" s="15">
        <v>8131.15</v>
      </c>
      <c r="N22" s="15">
        <v>44950.32</v>
      </c>
      <c r="O22" s="15">
        <v>52885.25</v>
      </c>
      <c r="P22" s="15">
        <v>5957.8</v>
      </c>
      <c r="Q22" s="15">
        <v>17680.5</v>
      </c>
      <c r="R22" s="15">
        <v>24933.08</v>
      </c>
    </row>
    <row r="23" spans="1:18">
      <c r="A23" s="23">
        <v>46049</v>
      </c>
      <c r="B23" s="15">
        <v>1907.4770000000001</v>
      </c>
      <c r="C23" s="15">
        <v>25939.74</v>
      </c>
      <c r="D23" s="15">
        <v>5084.8500000000004</v>
      </c>
      <c r="E23" s="15">
        <v>8941.6170000000002</v>
      </c>
      <c r="F23" s="15">
        <v>27126.95</v>
      </c>
      <c r="G23" s="15">
        <v>14881.91</v>
      </c>
      <c r="H23" s="15">
        <v>6978.6</v>
      </c>
      <c r="I23" s="15">
        <v>2666.6970000000001</v>
      </c>
      <c r="J23" s="15">
        <v>13216.23</v>
      </c>
      <c r="K23" s="15">
        <v>10207.799999999999</v>
      </c>
      <c r="L23" s="15">
        <v>1001.68</v>
      </c>
      <c r="M23" s="15">
        <v>8152.82</v>
      </c>
      <c r="N23" s="15">
        <v>45440.44</v>
      </c>
      <c r="O23" s="15">
        <v>53333.54</v>
      </c>
      <c r="P23" s="15">
        <v>5994.59</v>
      </c>
      <c r="Q23" s="15">
        <v>17804.099999999999</v>
      </c>
      <c r="R23" s="15">
        <v>24894.44</v>
      </c>
    </row>
    <row r="24" spans="1:18">
      <c r="A24" s="24">
        <v>46050</v>
      </c>
      <c r="B24" s="15">
        <v>1909.13</v>
      </c>
      <c r="C24" s="15">
        <v>26022.79</v>
      </c>
      <c r="D24" s="15">
        <v>5170.8100000000004</v>
      </c>
      <c r="E24" s="15">
        <v>8933.9</v>
      </c>
      <c r="F24" s="15">
        <v>27826.91</v>
      </c>
      <c r="G24" s="15">
        <v>14872.1</v>
      </c>
      <c r="H24" s="15">
        <v>6978.03</v>
      </c>
      <c r="I24" s="15">
        <v>2653.5459999999998</v>
      </c>
      <c r="J24" s="15">
        <v>13023.81</v>
      </c>
      <c r="K24" s="15">
        <v>10154.43</v>
      </c>
      <c r="L24" s="15">
        <v>997.13</v>
      </c>
      <c r="M24" s="15">
        <v>8066.68</v>
      </c>
      <c r="N24" s="15">
        <v>45138.73</v>
      </c>
      <c r="O24" s="15">
        <v>53358.71</v>
      </c>
      <c r="P24" s="15">
        <v>5933.2</v>
      </c>
      <c r="Q24" s="15">
        <v>17607.599999999999</v>
      </c>
      <c r="R24" s="15">
        <v>24822.79</v>
      </c>
    </row>
    <row r="25" spans="1:18">
      <c r="A25" s="23">
        <v>46051</v>
      </c>
      <c r="B25" s="15">
        <v>1907.604</v>
      </c>
      <c r="C25" s="15">
        <v>25884.29</v>
      </c>
      <c r="D25" s="15">
        <v>5221.25</v>
      </c>
      <c r="E25" s="15">
        <v>8927.5259999999998</v>
      </c>
      <c r="F25" s="15">
        <v>27968.09</v>
      </c>
      <c r="G25" s="15">
        <v>15081.49</v>
      </c>
      <c r="H25" s="15">
        <v>6969.01</v>
      </c>
      <c r="I25" s="15">
        <v>2654.7759999999998</v>
      </c>
      <c r="J25" s="15">
        <v>13147.93</v>
      </c>
      <c r="K25" s="15">
        <v>10171.76</v>
      </c>
      <c r="L25" s="15">
        <v>996.93</v>
      </c>
      <c r="M25" s="15">
        <v>8071.36</v>
      </c>
      <c r="N25" s="15">
        <v>45075.6</v>
      </c>
      <c r="O25" s="15">
        <v>53375.6</v>
      </c>
      <c r="P25" s="15">
        <v>5891.95</v>
      </c>
      <c r="Q25" s="15">
        <v>17589.7</v>
      </c>
      <c r="R25" s="15">
        <v>24309.46</v>
      </c>
    </row>
    <row r="26" spans="1:18">
      <c r="A26" s="24">
        <v>46052</v>
      </c>
      <c r="B26" s="15">
        <v>1852.7270000000001</v>
      </c>
      <c r="C26" s="15">
        <v>25552.39</v>
      </c>
      <c r="D26" s="15">
        <v>5224.3599999999997</v>
      </c>
      <c r="E26" s="15">
        <v>8869.1479999999992</v>
      </c>
      <c r="F26" s="15">
        <v>27387.11</v>
      </c>
      <c r="G26" s="15">
        <v>14980.53</v>
      </c>
      <c r="H26" s="15">
        <v>6939.03</v>
      </c>
      <c r="I26" s="15">
        <v>2613.7429999999999</v>
      </c>
      <c r="J26" s="15">
        <v>13188.26</v>
      </c>
      <c r="K26" s="15">
        <v>10223.540000000001</v>
      </c>
      <c r="L26" s="15">
        <v>1001.65</v>
      </c>
      <c r="M26" s="15">
        <v>8126.53</v>
      </c>
      <c r="N26" s="15">
        <v>45527.42</v>
      </c>
      <c r="O26" s="15">
        <v>53322.85</v>
      </c>
      <c r="P26" s="15">
        <v>5947.81</v>
      </c>
      <c r="Q26" s="15">
        <v>17880.900000000001</v>
      </c>
      <c r="R26" s="15">
        <v>24538.81</v>
      </c>
    </row>
    <row r="27" spans="1:18">
      <c r="A27" s="23">
        <v>46055</v>
      </c>
      <c r="B27" s="15">
        <v>1869.95</v>
      </c>
      <c r="C27" s="15">
        <v>25738.61</v>
      </c>
      <c r="D27" s="15">
        <v>4949.67</v>
      </c>
      <c r="E27" s="15">
        <v>8778.6010000000006</v>
      </c>
      <c r="F27" s="15">
        <v>26775.57</v>
      </c>
      <c r="G27" s="15">
        <v>14764.19</v>
      </c>
      <c r="H27" s="15">
        <v>6976.44</v>
      </c>
      <c r="I27" s="15">
        <v>2640.2840000000001</v>
      </c>
      <c r="J27" s="15">
        <v>13409.11</v>
      </c>
      <c r="K27" s="15">
        <v>10341.56</v>
      </c>
      <c r="L27" s="15">
        <v>1009.51</v>
      </c>
      <c r="M27" s="15">
        <v>8181.17</v>
      </c>
      <c r="N27" s="15">
        <v>46005.21</v>
      </c>
      <c r="O27" s="15">
        <v>52655.18</v>
      </c>
      <c r="P27" s="15">
        <v>6007.51</v>
      </c>
      <c r="Q27" s="15">
        <v>18115.2</v>
      </c>
      <c r="R27" s="15">
        <v>24797.52</v>
      </c>
    </row>
    <row r="28" spans="1:18">
      <c r="A28" s="24">
        <v>46056</v>
      </c>
      <c r="B28" s="15">
        <v>1873.645</v>
      </c>
      <c r="C28" s="15">
        <v>25338.62</v>
      </c>
      <c r="D28" s="15">
        <v>5288.08</v>
      </c>
      <c r="E28" s="15">
        <v>8857.0519999999997</v>
      </c>
      <c r="F28" s="15">
        <v>26834.77</v>
      </c>
      <c r="G28" s="15">
        <v>14791.34</v>
      </c>
      <c r="H28" s="15">
        <v>6917.81</v>
      </c>
      <c r="I28" s="15">
        <v>2648.4989999999998</v>
      </c>
      <c r="J28" s="15">
        <v>13372.58</v>
      </c>
      <c r="K28" s="15">
        <v>10314.59</v>
      </c>
      <c r="L28" s="15">
        <v>993.99</v>
      </c>
      <c r="M28" s="15">
        <v>8179.5</v>
      </c>
      <c r="N28" s="15">
        <v>46420.52</v>
      </c>
      <c r="O28" s="15">
        <v>54720.66</v>
      </c>
      <c r="P28" s="15">
        <v>5995.35</v>
      </c>
      <c r="Q28" s="15">
        <v>18119.2</v>
      </c>
      <c r="R28" s="15">
        <v>24780.79</v>
      </c>
    </row>
    <row r="29" spans="1:18">
      <c r="A29" s="23">
        <v>46057</v>
      </c>
      <c r="B29" s="15">
        <v>1885.8409999999999</v>
      </c>
      <c r="C29" s="15">
        <v>24891.24</v>
      </c>
      <c r="D29" s="15">
        <v>5371.1</v>
      </c>
      <c r="E29" s="15">
        <v>8927.8320000000003</v>
      </c>
      <c r="F29" s="15">
        <v>26847.32</v>
      </c>
      <c r="G29" s="15">
        <v>14958.41</v>
      </c>
      <c r="H29" s="15">
        <v>6882.72</v>
      </c>
      <c r="I29" s="15">
        <v>2624.5459999999998</v>
      </c>
      <c r="J29" s="15">
        <v>13508.12</v>
      </c>
      <c r="K29" s="15">
        <v>10402.34</v>
      </c>
      <c r="L29" s="15">
        <v>990.32</v>
      </c>
      <c r="M29" s="15">
        <v>8262.16</v>
      </c>
      <c r="N29" s="15">
        <v>46636.43</v>
      </c>
      <c r="O29" s="15">
        <v>54293.36</v>
      </c>
      <c r="P29" s="15">
        <v>5970.47</v>
      </c>
      <c r="Q29" s="15">
        <v>18102.5</v>
      </c>
      <c r="R29" s="15">
        <v>24603.040000000001</v>
      </c>
    </row>
    <row r="30" spans="1:18">
      <c r="A30" s="24">
        <v>46058</v>
      </c>
      <c r="B30" s="15">
        <v>1860.5709999999999</v>
      </c>
      <c r="C30" s="15">
        <v>24548.69</v>
      </c>
      <c r="D30" s="15">
        <v>5163.57</v>
      </c>
      <c r="E30" s="15">
        <v>8889.2209999999995</v>
      </c>
      <c r="F30" s="15">
        <v>26885.24</v>
      </c>
      <c r="G30" s="15">
        <v>14946.75</v>
      </c>
      <c r="H30" s="15">
        <v>6798.4</v>
      </c>
      <c r="I30" s="15">
        <v>2577.6460000000002</v>
      </c>
      <c r="J30" s="15">
        <v>13466.04</v>
      </c>
      <c r="K30" s="15">
        <v>10309.219999999999</v>
      </c>
      <c r="L30" s="15">
        <v>985.14</v>
      </c>
      <c r="M30" s="15">
        <v>8238.17</v>
      </c>
      <c r="N30" s="15">
        <v>45819.57</v>
      </c>
      <c r="O30" s="15">
        <v>53818.04</v>
      </c>
      <c r="P30" s="15">
        <v>5925.7</v>
      </c>
      <c r="Q30" s="15">
        <v>17746.3</v>
      </c>
      <c r="R30" s="15">
        <v>24491.06</v>
      </c>
    </row>
    <row r="31" spans="1:18">
      <c r="A31" s="23">
        <v>46059</v>
      </c>
      <c r="B31" s="15">
        <v>1882.664</v>
      </c>
      <c r="C31" s="15">
        <v>25075.77</v>
      </c>
      <c r="D31" s="15">
        <v>5089.1400000000003</v>
      </c>
      <c r="E31" s="15">
        <v>8708.8310000000001</v>
      </c>
      <c r="F31" s="15">
        <v>26559.95</v>
      </c>
      <c r="G31" s="15">
        <v>14837.26</v>
      </c>
      <c r="H31" s="15">
        <v>6932.3</v>
      </c>
      <c r="I31" s="15">
        <v>2670.3380000000002</v>
      </c>
      <c r="J31" s="15">
        <v>13503.06</v>
      </c>
      <c r="K31" s="15">
        <v>10369.75</v>
      </c>
      <c r="L31" s="15">
        <v>995.35</v>
      </c>
      <c r="M31" s="15">
        <v>8273.84</v>
      </c>
      <c r="N31" s="15">
        <v>45877.2</v>
      </c>
      <c r="O31" s="15">
        <v>54253.68</v>
      </c>
      <c r="P31" s="15">
        <v>5998.4</v>
      </c>
      <c r="Q31" s="15">
        <v>17943.3</v>
      </c>
      <c r="R31" s="15">
        <v>24721.46</v>
      </c>
    </row>
    <row r="32" spans="1:18">
      <c r="A32" s="24">
        <v>46062</v>
      </c>
      <c r="B32" s="15">
        <v>1911.63</v>
      </c>
      <c r="C32" s="15">
        <v>25268.14</v>
      </c>
      <c r="D32" s="15">
        <v>5298.04</v>
      </c>
      <c r="E32" s="15">
        <v>8870.098</v>
      </c>
      <c r="F32" s="15">
        <v>27027.16</v>
      </c>
      <c r="G32" s="15">
        <v>15021.36</v>
      </c>
      <c r="H32" s="15">
        <v>6964.82</v>
      </c>
      <c r="I32" s="15">
        <v>2689.0459999999998</v>
      </c>
      <c r="J32" s="15">
        <v>13517.73</v>
      </c>
      <c r="K32" s="15">
        <v>10386.23</v>
      </c>
      <c r="L32" s="15">
        <v>999.03</v>
      </c>
      <c r="M32" s="15">
        <v>8323.2800000000007</v>
      </c>
      <c r="N32" s="15">
        <v>46822.81</v>
      </c>
      <c r="O32" s="15">
        <v>56363.94</v>
      </c>
      <c r="P32" s="15">
        <v>6059.01</v>
      </c>
      <c r="Q32" s="15">
        <v>18195.099999999999</v>
      </c>
      <c r="R32" s="15">
        <v>25014.87</v>
      </c>
    </row>
    <row r="33" spans="1:18">
      <c r="A33" s="23">
        <v>46063</v>
      </c>
      <c r="B33" s="15">
        <v>1927.0550000000001</v>
      </c>
      <c r="C33" s="15">
        <v>25127.64</v>
      </c>
      <c r="D33" s="15">
        <v>5301.69</v>
      </c>
      <c r="E33" s="15">
        <v>8867.3590000000004</v>
      </c>
      <c r="F33" s="15">
        <v>27183.15</v>
      </c>
      <c r="G33" s="15">
        <v>15024.8</v>
      </c>
      <c r="H33" s="15">
        <v>6941.81</v>
      </c>
      <c r="I33" s="15">
        <v>2679.7689999999998</v>
      </c>
      <c r="J33" s="15">
        <v>13518.22</v>
      </c>
      <c r="K33" s="15">
        <v>10353.84</v>
      </c>
      <c r="L33" s="15">
        <v>1004.14</v>
      </c>
      <c r="M33" s="15">
        <v>8327.8799999999992</v>
      </c>
      <c r="N33" s="15">
        <v>46802.99</v>
      </c>
      <c r="O33" s="15">
        <v>57650.54</v>
      </c>
      <c r="P33" s="15">
        <v>6047.06</v>
      </c>
      <c r="Q33" s="15">
        <v>18122.099999999999</v>
      </c>
      <c r="R33" s="15">
        <v>24987.85</v>
      </c>
    </row>
    <row r="34" spans="1:18">
      <c r="A34" s="24">
        <v>46064</v>
      </c>
      <c r="B34" s="15">
        <v>1922.271</v>
      </c>
      <c r="C34" s="15">
        <v>25201.26</v>
      </c>
      <c r="D34" s="15">
        <v>5354.49</v>
      </c>
      <c r="E34" s="15">
        <v>9014.7800000000007</v>
      </c>
      <c r="F34" s="15">
        <v>27266.38</v>
      </c>
      <c r="G34" s="15">
        <v>14988.84</v>
      </c>
      <c r="H34" s="15">
        <v>6941.47</v>
      </c>
      <c r="I34" s="15">
        <v>2669.4670000000001</v>
      </c>
      <c r="J34" s="15">
        <v>13547.08</v>
      </c>
      <c r="K34" s="15">
        <v>10472.11</v>
      </c>
      <c r="L34" s="15">
        <v>1008.96</v>
      </c>
      <c r="M34" s="15">
        <v>8313.24</v>
      </c>
      <c r="N34" s="15">
        <v>46510.83</v>
      </c>
      <c r="O34" s="15" t="e">
        <v>#N/A</v>
      </c>
      <c r="P34" s="15">
        <v>6035.64</v>
      </c>
      <c r="Q34" s="15">
        <v>18044.5</v>
      </c>
      <c r="R34" s="15">
        <v>24856.15</v>
      </c>
    </row>
    <row r="35" spans="1:18">
      <c r="A35" s="23">
        <v>46065</v>
      </c>
      <c r="B35" s="15">
        <v>1887.05</v>
      </c>
      <c r="C35" s="15">
        <v>24687.61</v>
      </c>
      <c r="D35" s="15">
        <v>5522.27</v>
      </c>
      <c r="E35" s="15">
        <v>9043.5439999999999</v>
      </c>
      <c r="F35" s="15">
        <v>27032.54</v>
      </c>
      <c r="G35" s="15">
        <v>14934.45</v>
      </c>
      <c r="H35" s="15">
        <v>6832.76</v>
      </c>
      <c r="I35" s="15">
        <v>2615.83</v>
      </c>
      <c r="J35" s="15">
        <v>13529.92</v>
      </c>
      <c r="K35" s="15">
        <v>10402.44</v>
      </c>
      <c r="L35" s="15">
        <v>988.03</v>
      </c>
      <c r="M35" s="15">
        <v>8340.56</v>
      </c>
      <c r="N35" s="15">
        <v>46222.95</v>
      </c>
      <c r="O35" s="15">
        <v>57639.839999999997</v>
      </c>
      <c r="P35" s="15">
        <v>6011.29</v>
      </c>
      <c r="Q35" s="15">
        <v>17896.900000000001</v>
      </c>
      <c r="R35" s="15">
        <v>24852.69</v>
      </c>
    </row>
    <row r="36" spans="1:18">
      <c r="A36" s="24">
        <v>46066</v>
      </c>
      <c r="B36" s="15">
        <v>1917.1479999999999</v>
      </c>
      <c r="C36" s="15">
        <v>24732.73</v>
      </c>
      <c r="D36" s="15">
        <v>5507.01</v>
      </c>
      <c r="E36" s="15">
        <v>8917.6119999999992</v>
      </c>
      <c r="F36" s="15">
        <v>26567.119999999999</v>
      </c>
      <c r="G36" s="15">
        <v>14745.08</v>
      </c>
      <c r="H36" s="15">
        <v>6836.17</v>
      </c>
      <c r="I36" s="15">
        <v>2646.6970000000001</v>
      </c>
      <c r="J36" s="15">
        <v>13600.67</v>
      </c>
      <c r="K36" s="15">
        <v>10446.35</v>
      </c>
      <c r="L36" s="15">
        <v>993.82</v>
      </c>
      <c r="M36" s="15">
        <v>8311.74</v>
      </c>
      <c r="N36" s="15">
        <v>45430.62</v>
      </c>
      <c r="O36" s="15">
        <v>56941.97</v>
      </c>
      <c r="P36" s="15">
        <v>5985.23</v>
      </c>
      <c r="Q36" s="15">
        <v>17672.400000000001</v>
      </c>
      <c r="R36" s="15">
        <v>24914.880000000001</v>
      </c>
    </row>
    <row r="37" spans="1:18">
      <c r="A37" s="23">
        <v>46069</v>
      </c>
      <c r="B37" s="15" t="e">
        <v>#N/A</v>
      </c>
      <c r="C37" s="15" t="e">
        <v>#N/A</v>
      </c>
      <c r="D37" s="15" t="e">
        <v>#N/A</v>
      </c>
      <c r="E37" s="15">
        <v>8937.0949999999993</v>
      </c>
      <c r="F37" s="15">
        <v>26705.94</v>
      </c>
      <c r="G37" s="15" t="e">
        <v>#N/A</v>
      </c>
      <c r="H37" s="15" t="e">
        <v>#N/A</v>
      </c>
      <c r="I37" s="15" t="e">
        <v>#N/A</v>
      </c>
      <c r="J37" s="15">
        <v>13656</v>
      </c>
      <c r="K37" s="15">
        <v>10473.69</v>
      </c>
      <c r="L37" s="15">
        <v>993.1</v>
      </c>
      <c r="M37" s="15">
        <v>8316.5</v>
      </c>
      <c r="N37" s="15">
        <v>45419.199999999997</v>
      </c>
      <c r="O37" s="15">
        <v>56806.41</v>
      </c>
      <c r="P37" s="15">
        <v>5978.88</v>
      </c>
      <c r="Q37" s="15">
        <v>17848</v>
      </c>
      <c r="R37" s="15">
        <v>24800.91</v>
      </c>
    </row>
    <row r="38" spans="1:18">
      <c r="A38" s="24">
        <v>46070</v>
      </c>
      <c r="B38" s="15">
        <v>1909.29</v>
      </c>
      <c r="C38" s="15">
        <v>24701.599999999999</v>
      </c>
      <c r="D38" s="15" t="e">
        <v>#N/A</v>
      </c>
      <c r="E38" s="15">
        <v>8958.8780000000006</v>
      </c>
      <c r="F38" s="15" t="e">
        <v>#N/A</v>
      </c>
      <c r="G38" s="15" t="e">
        <v>#N/A</v>
      </c>
      <c r="H38" s="15">
        <v>6843.22</v>
      </c>
      <c r="I38" s="15">
        <v>2646.585</v>
      </c>
      <c r="J38" s="15">
        <v>13752.84</v>
      </c>
      <c r="K38" s="15">
        <v>10556.17</v>
      </c>
      <c r="L38" s="15">
        <v>995.8</v>
      </c>
      <c r="M38" s="15">
        <v>8361.4599999999991</v>
      </c>
      <c r="N38" s="15">
        <v>45764.07</v>
      </c>
      <c r="O38" s="15">
        <v>56566.49</v>
      </c>
      <c r="P38" s="15">
        <v>6021.85</v>
      </c>
      <c r="Q38" s="15">
        <v>17955.400000000001</v>
      </c>
      <c r="R38" s="15">
        <v>24998.400000000001</v>
      </c>
    </row>
    <row r="39" spans="1:18">
      <c r="A39" s="23">
        <v>46071</v>
      </c>
      <c r="B39" s="15">
        <v>1938.05</v>
      </c>
      <c r="C39" s="15">
        <v>24898.87</v>
      </c>
      <c r="D39" s="15" t="e">
        <v>#N/A</v>
      </c>
      <c r="E39" s="15">
        <v>9006.9840000000004</v>
      </c>
      <c r="F39" s="15" t="e">
        <v>#N/A</v>
      </c>
      <c r="G39" s="15" t="e">
        <v>#N/A</v>
      </c>
      <c r="H39" s="15">
        <v>6881.31</v>
      </c>
      <c r="I39" s="15">
        <v>2658.6089999999999</v>
      </c>
      <c r="J39" s="15">
        <v>13807.04</v>
      </c>
      <c r="K39" s="15">
        <v>10686.18</v>
      </c>
      <c r="L39" s="15">
        <v>1010.54</v>
      </c>
      <c r="M39" s="15">
        <v>8429.0300000000007</v>
      </c>
      <c r="N39" s="15">
        <v>46361.09</v>
      </c>
      <c r="O39" s="15">
        <v>57143.839999999997</v>
      </c>
      <c r="P39" s="15">
        <v>6103.37</v>
      </c>
      <c r="Q39" s="15">
        <v>18197.900000000001</v>
      </c>
      <c r="R39" s="15">
        <v>25278.21</v>
      </c>
    </row>
    <row r="40" spans="1:18">
      <c r="A40" s="24">
        <v>46072</v>
      </c>
      <c r="B40" s="15">
        <v>1945.9680000000001</v>
      </c>
      <c r="C40" s="15">
        <v>24797.34</v>
      </c>
      <c r="D40" s="15">
        <v>5677.25</v>
      </c>
      <c r="E40" s="15">
        <v>9086.1650000000009</v>
      </c>
      <c r="F40" s="15" t="e">
        <v>#N/A</v>
      </c>
      <c r="G40" s="15" t="e">
        <v>#N/A</v>
      </c>
      <c r="H40" s="15">
        <v>6861.89</v>
      </c>
      <c r="I40" s="15">
        <v>2665.09</v>
      </c>
      <c r="J40" s="15">
        <v>13799.59</v>
      </c>
      <c r="K40" s="15">
        <v>10627.04</v>
      </c>
      <c r="L40" s="15">
        <v>1007.69</v>
      </c>
      <c r="M40" s="15">
        <v>8398.7800000000007</v>
      </c>
      <c r="N40" s="15">
        <v>45794.22</v>
      </c>
      <c r="O40" s="15">
        <v>57467.83</v>
      </c>
      <c r="P40" s="15">
        <v>6059.62</v>
      </c>
      <c r="Q40" s="15">
        <v>18017.5</v>
      </c>
      <c r="R40" s="15">
        <v>25043.57</v>
      </c>
    </row>
    <row r="41" spans="1:18">
      <c r="A41" s="23">
        <v>46073</v>
      </c>
      <c r="B41" s="15">
        <v>1955.9380000000001</v>
      </c>
      <c r="C41" s="15">
        <v>25012.62</v>
      </c>
      <c r="D41" s="15">
        <v>5808.53</v>
      </c>
      <c r="E41" s="15">
        <v>9081.4040000000005</v>
      </c>
      <c r="F41" s="15">
        <v>26413.35</v>
      </c>
      <c r="G41" s="15" t="e">
        <v>#N/A</v>
      </c>
      <c r="H41" s="15">
        <v>6909.51</v>
      </c>
      <c r="I41" s="15">
        <v>2663.78</v>
      </c>
      <c r="J41" s="15">
        <v>13859.76</v>
      </c>
      <c r="K41" s="15">
        <v>10686.89</v>
      </c>
      <c r="L41" s="15">
        <v>1017.66</v>
      </c>
      <c r="M41" s="15">
        <v>8515.49</v>
      </c>
      <c r="N41" s="15">
        <v>46472.98</v>
      </c>
      <c r="O41" s="15">
        <v>56825.7</v>
      </c>
      <c r="P41" s="15">
        <v>6131.31</v>
      </c>
      <c r="Q41" s="15">
        <v>18186</v>
      </c>
      <c r="R41" s="15">
        <v>25260.69</v>
      </c>
    </row>
    <row r="42" spans="1:18">
      <c r="A42" s="24">
        <v>46076</v>
      </c>
      <c r="B42" s="15">
        <v>1950.771</v>
      </c>
      <c r="C42" s="15">
        <v>24708.94</v>
      </c>
      <c r="D42" s="15">
        <v>5846.09</v>
      </c>
      <c r="E42" s="15">
        <v>9026.0349999999999</v>
      </c>
      <c r="F42" s="15">
        <v>27081.91</v>
      </c>
      <c r="G42" s="15" t="e">
        <v>#N/A</v>
      </c>
      <c r="H42" s="15">
        <v>6837.75</v>
      </c>
      <c r="I42" s="15">
        <v>2620.989</v>
      </c>
      <c r="J42" s="15">
        <v>13871.06</v>
      </c>
      <c r="K42" s="15">
        <v>10684.74</v>
      </c>
      <c r="L42" s="15">
        <v>1016.45</v>
      </c>
      <c r="M42" s="15">
        <v>8497.17</v>
      </c>
      <c r="N42" s="15">
        <v>46699.29</v>
      </c>
      <c r="O42" s="15" t="e">
        <v>#N/A</v>
      </c>
      <c r="P42" s="15">
        <v>6113.92</v>
      </c>
      <c r="Q42" s="15">
        <v>18288.7</v>
      </c>
      <c r="R42" s="15">
        <v>24991.97</v>
      </c>
    </row>
    <row r="43" spans="1:18">
      <c r="A43" s="23">
        <v>46077</v>
      </c>
      <c r="B43" s="15">
        <v>1957.6849999999999</v>
      </c>
      <c r="C43" s="15">
        <v>24977.040000000001</v>
      </c>
      <c r="D43" s="15">
        <v>5969.64</v>
      </c>
      <c r="E43" s="15">
        <v>9022.3150000000005</v>
      </c>
      <c r="F43" s="15">
        <v>26590.32</v>
      </c>
      <c r="G43" s="15">
        <v>14765.05</v>
      </c>
      <c r="H43" s="15">
        <v>6890.07</v>
      </c>
      <c r="I43" s="15">
        <v>2652.328</v>
      </c>
      <c r="J43" s="15">
        <v>13997.13</v>
      </c>
      <c r="K43" s="15">
        <v>10680.59</v>
      </c>
      <c r="L43" s="15">
        <v>1019.87</v>
      </c>
      <c r="M43" s="15">
        <v>8519.2099999999991</v>
      </c>
      <c r="N43" s="15">
        <v>46651.72</v>
      </c>
      <c r="O43" s="15">
        <v>57321.09</v>
      </c>
      <c r="P43" s="15">
        <v>6116.6</v>
      </c>
      <c r="Q43" s="15">
        <v>18189.5</v>
      </c>
      <c r="R43" s="15">
        <v>24986.25</v>
      </c>
    </row>
    <row r="44" spans="1:18">
      <c r="A44" s="24">
        <v>46078</v>
      </c>
      <c r="B44" s="15">
        <v>1968.768</v>
      </c>
      <c r="C44" s="15">
        <v>25329.040000000001</v>
      </c>
      <c r="D44" s="15">
        <v>6083.86</v>
      </c>
      <c r="E44" s="15">
        <v>9128.2870000000003</v>
      </c>
      <c r="F44" s="15">
        <v>26765.72</v>
      </c>
      <c r="G44" s="15">
        <v>14840.97</v>
      </c>
      <c r="H44" s="15">
        <v>6946.13</v>
      </c>
      <c r="I44" s="15">
        <v>2663.3290000000002</v>
      </c>
      <c r="J44" s="15">
        <v>13977.1</v>
      </c>
      <c r="K44" s="15">
        <v>10806.41</v>
      </c>
      <c r="L44" s="15">
        <v>1030.06</v>
      </c>
      <c r="M44" s="15">
        <v>8559.07</v>
      </c>
      <c r="N44" s="15">
        <v>47170.44</v>
      </c>
      <c r="O44" s="15">
        <v>58583.12</v>
      </c>
      <c r="P44" s="15">
        <v>6173.32</v>
      </c>
      <c r="Q44" s="15">
        <v>18461</v>
      </c>
      <c r="R44" s="15">
        <v>25175.94</v>
      </c>
    </row>
    <row r="45" spans="1:18">
      <c r="A45" s="23">
        <v>46079</v>
      </c>
      <c r="B45" s="15">
        <v>1985.6020000000001</v>
      </c>
      <c r="C45" s="15">
        <v>25034.37</v>
      </c>
      <c r="D45" s="15">
        <v>6307.27</v>
      </c>
      <c r="E45" s="15">
        <v>9175.3080000000009</v>
      </c>
      <c r="F45" s="15">
        <v>26381.02</v>
      </c>
      <c r="G45" s="15">
        <v>14708.3</v>
      </c>
      <c r="H45" s="15">
        <v>6908.86</v>
      </c>
      <c r="I45" s="15">
        <v>2677.2890000000002</v>
      </c>
      <c r="J45" s="15">
        <v>13913.73</v>
      </c>
      <c r="K45" s="15">
        <v>10846.7</v>
      </c>
      <c r="L45" s="15">
        <v>1022.4</v>
      </c>
      <c r="M45" s="15">
        <v>8620.93</v>
      </c>
      <c r="N45" s="15">
        <v>47425.94</v>
      </c>
      <c r="O45" s="15">
        <v>58753.39</v>
      </c>
      <c r="P45" s="15">
        <v>6161.56</v>
      </c>
      <c r="Q45" s="15">
        <v>18496.599999999999</v>
      </c>
      <c r="R45" s="15">
        <v>25289.02</v>
      </c>
    </row>
    <row r="46" spans="1:18">
      <c r="A46" s="24">
        <v>46080</v>
      </c>
      <c r="B46" s="15">
        <v>1971.9469999999999</v>
      </c>
      <c r="C46" s="15">
        <v>24960.04</v>
      </c>
      <c r="D46" s="15">
        <v>6244.13</v>
      </c>
      <c r="E46" s="15">
        <v>9198.5990000000002</v>
      </c>
      <c r="F46" s="15">
        <v>26630.54</v>
      </c>
      <c r="G46" s="15">
        <v>14629.68</v>
      </c>
      <c r="H46" s="15">
        <v>6878.88</v>
      </c>
      <c r="I46" s="15">
        <v>2632.3609999999999</v>
      </c>
      <c r="J46" s="15">
        <v>14014.3</v>
      </c>
      <c r="K46" s="15">
        <v>10910.55</v>
      </c>
      <c r="L46" s="15">
        <v>1027.02</v>
      </c>
      <c r="M46" s="15">
        <v>8580.75</v>
      </c>
      <c r="N46" s="15">
        <v>47209.89</v>
      </c>
      <c r="O46" s="15">
        <v>58850.27</v>
      </c>
      <c r="P46" s="15">
        <v>6138.41</v>
      </c>
      <c r="Q46" s="15">
        <v>18360.8</v>
      </c>
      <c r="R46" s="15">
        <v>25284.26</v>
      </c>
    </row>
    <row r="47" spans="1:18">
      <c r="A47" s="23">
        <v>46083</v>
      </c>
      <c r="B47" s="15">
        <v>1986.3309999999999</v>
      </c>
      <c r="C47" s="15">
        <v>24992.6</v>
      </c>
      <c r="D47" s="15" t="e">
        <v>#N/A</v>
      </c>
      <c r="E47" s="15">
        <v>9200.89</v>
      </c>
      <c r="F47" s="15">
        <v>26059.85</v>
      </c>
      <c r="G47" s="15">
        <v>14752.29</v>
      </c>
      <c r="H47" s="15">
        <v>6881.62</v>
      </c>
      <c r="I47" s="15">
        <v>2655.944</v>
      </c>
      <c r="J47" s="15">
        <v>13834.1</v>
      </c>
      <c r="K47" s="15">
        <v>10780.11</v>
      </c>
      <c r="L47" s="15">
        <v>1016.15</v>
      </c>
      <c r="M47" s="15">
        <v>8394.32</v>
      </c>
      <c r="N47" s="15">
        <v>46280.4</v>
      </c>
      <c r="O47" s="15">
        <v>58057.24</v>
      </c>
      <c r="P47" s="15">
        <v>5986.93</v>
      </c>
      <c r="Q47" s="15">
        <v>17875.8</v>
      </c>
      <c r="R47" s="15">
        <v>24638</v>
      </c>
    </row>
    <row r="48" spans="1:18">
      <c r="A48" s="24">
        <v>46084</v>
      </c>
      <c r="B48" s="15">
        <v>1950.951</v>
      </c>
      <c r="C48" s="15">
        <v>24720.080000000002</v>
      </c>
      <c r="D48" s="15">
        <v>5791.91</v>
      </c>
      <c r="E48" s="15">
        <v>9077.2710000000006</v>
      </c>
      <c r="F48" s="15">
        <v>25768.080000000002</v>
      </c>
      <c r="G48" s="15">
        <v>14731.21</v>
      </c>
      <c r="H48" s="15">
        <v>6816.63</v>
      </c>
      <c r="I48" s="15">
        <v>2608.357</v>
      </c>
      <c r="J48" s="15">
        <v>13404.93</v>
      </c>
      <c r="K48" s="15">
        <v>10484.129999999999</v>
      </c>
      <c r="L48" s="15">
        <v>990.24</v>
      </c>
      <c r="M48" s="15">
        <v>8103.84</v>
      </c>
      <c r="N48" s="15">
        <v>44468.46</v>
      </c>
      <c r="O48" s="15">
        <v>56279.05</v>
      </c>
      <c r="P48" s="15">
        <v>5771.73</v>
      </c>
      <c r="Q48" s="15">
        <v>17062.400000000001</v>
      </c>
      <c r="R48" s="15">
        <v>23790.65</v>
      </c>
    </row>
    <row r="49" spans="1:18">
      <c r="A49" s="23">
        <v>46085</v>
      </c>
      <c r="B49" s="15">
        <v>1960.048</v>
      </c>
      <c r="C49" s="15">
        <v>25093.68</v>
      </c>
      <c r="D49" s="15">
        <v>5093.54</v>
      </c>
      <c r="E49" s="15">
        <v>8901.2119999999995</v>
      </c>
      <c r="F49" s="15">
        <v>25249.48</v>
      </c>
      <c r="G49" s="15">
        <v>14496.05</v>
      </c>
      <c r="H49" s="15">
        <v>6869.5</v>
      </c>
      <c r="I49" s="15">
        <v>2636.0120000000002</v>
      </c>
      <c r="J49" s="15">
        <v>13510.74</v>
      </c>
      <c r="K49" s="15">
        <v>10567.65</v>
      </c>
      <c r="L49" s="15">
        <v>1000.02</v>
      </c>
      <c r="M49" s="15">
        <v>8167.73</v>
      </c>
      <c r="N49" s="15">
        <v>45336.88</v>
      </c>
      <c r="O49" s="15">
        <v>54245.54</v>
      </c>
      <c r="P49" s="15">
        <v>5870.92</v>
      </c>
      <c r="Q49" s="15">
        <v>17487</v>
      </c>
      <c r="R49" s="15">
        <v>24205.360000000001</v>
      </c>
    </row>
    <row r="50" spans="1:18">
      <c r="A50" s="24">
        <v>46086</v>
      </c>
      <c r="B50" s="15">
        <v>1946.2270000000001</v>
      </c>
      <c r="C50" s="15">
        <v>25020.41</v>
      </c>
      <c r="D50" s="15">
        <v>5583.9</v>
      </c>
      <c r="E50" s="15">
        <v>8940.3179999999993</v>
      </c>
      <c r="F50" s="15">
        <v>25321.34</v>
      </c>
      <c r="G50" s="15">
        <v>14635.87</v>
      </c>
      <c r="H50" s="15">
        <v>6830.71</v>
      </c>
      <c r="I50" s="15">
        <v>2585.5729999999999</v>
      </c>
      <c r="J50" s="15">
        <v>13298.3</v>
      </c>
      <c r="K50" s="15">
        <v>10413.94</v>
      </c>
      <c r="L50" s="15">
        <v>995.52</v>
      </c>
      <c r="M50" s="15">
        <v>8045.8</v>
      </c>
      <c r="N50" s="15">
        <v>44608.55</v>
      </c>
      <c r="O50" s="15">
        <v>55278.06</v>
      </c>
      <c r="P50" s="15">
        <v>5782.89</v>
      </c>
      <c r="Q50" s="15">
        <v>17245.2</v>
      </c>
      <c r="R50" s="15">
        <v>23815.75</v>
      </c>
    </row>
    <row r="51" spans="1:18">
      <c r="A51" s="23">
        <v>46087</v>
      </c>
      <c r="B51" s="15">
        <v>1916.029</v>
      </c>
      <c r="C51" s="15">
        <v>24643.01</v>
      </c>
      <c r="D51" s="15">
        <v>5584.87</v>
      </c>
      <c r="E51" s="15">
        <v>8850.9969999999994</v>
      </c>
      <c r="F51" s="15">
        <v>25757.29</v>
      </c>
      <c r="G51" s="15">
        <v>14664.33</v>
      </c>
      <c r="H51" s="15">
        <v>6740.02</v>
      </c>
      <c r="I51" s="15">
        <v>2525.3009999999999</v>
      </c>
      <c r="J51" s="15">
        <v>13095.55</v>
      </c>
      <c r="K51" s="15">
        <v>10284.75</v>
      </c>
      <c r="L51" s="15">
        <v>980.34</v>
      </c>
      <c r="M51" s="15">
        <v>7993.49</v>
      </c>
      <c r="N51" s="15">
        <v>44152.26</v>
      </c>
      <c r="O51" s="15">
        <v>55620.84</v>
      </c>
      <c r="P51" s="15">
        <v>5719.9</v>
      </c>
      <c r="Q51" s="15">
        <v>17074.400000000001</v>
      </c>
      <c r="R51" s="15">
        <v>23591.03</v>
      </c>
    </row>
    <row r="52" spans="1:18">
      <c r="A52" s="24">
        <v>46090</v>
      </c>
      <c r="B52" s="15">
        <v>1921.921</v>
      </c>
      <c r="C52" s="15">
        <v>24967.25</v>
      </c>
      <c r="D52" s="15">
        <v>5251.87</v>
      </c>
      <c r="E52" s="15">
        <v>8599.0349999999999</v>
      </c>
      <c r="F52" s="15">
        <v>25408.46</v>
      </c>
      <c r="G52" s="15">
        <v>14567.1</v>
      </c>
      <c r="H52" s="15">
        <v>6795.99</v>
      </c>
      <c r="I52" s="15">
        <v>2553.6680000000001</v>
      </c>
      <c r="J52" s="15">
        <v>13000.09</v>
      </c>
      <c r="K52" s="15">
        <v>10249.52</v>
      </c>
      <c r="L52" s="15">
        <v>983</v>
      </c>
      <c r="M52" s="15">
        <v>7915.36</v>
      </c>
      <c r="N52" s="15">
        <v>44024.959999999999</v>
      </c>
      <c r="O52" s="15">
        <v>52728.72</v>
      </c>
      <c r="P52" s="15">
        <v>5685.2</v>
      </c>
      <c r="Q52" s="15">
        <v>16928.2</v>
      </c>
      <c r="R52" s="15">
        <v>23409.37</v>
      </c>
    </row>
    <row r="53" spans="1:18">
      <c r="A53" s="23">
        <v>46091</v>
      </c>
      <c r="B53" s="15">
        <v>1924.5219999999999</v>
      </c>
      <c r="C53" s="15">
        <v>24956.47</v>
      </c>
      <c r="D53" s="15">
        <v>5532.59</v>
      </c>
      <c r="E53" s="15">
        <v>8692.5879999999997</v>
      </c>
      <c r="F53" s="15">
        <v>25959.9</v>
      </c>
      <c r="G53" s="15">
        <v>14721.95</v>
      </c>
      <c r="H53" s="15">
        <v>6781.48</v>
      </c>
      <c r="I53" s="15">
        <v>2548.078</v>
      </c>
      <c r="J53" s="15">
        <v>13065.19</v>
      </c>
      <c r="K53" s="15">
        <v>10412.24</v>
      </c>
      <c r="L53" s="15">
        <v>1002.42</v>
      </c>
      <c r="M53" s="15">
        <v>8057.36</v>
      </c>
      <c r="N53" s="15">
        <v>45201.69</v>
      </c>
      <c r="O53" s="15">
        <v>54248.39</v>
      </c>
      <c r="P53" s="15">
        <v>5837.17</v>
      </c>
      <c r="Q53" s="15">
        <v>17445</v>
      </c>
      <c r="R53" s="15">
        <v>23968.63</v>
      </c>
    </row>
    <row r="54" spans="1:18">
      <c r="A54" s="24">
        <v>46092</v>
      </c>
      <c r="B54" s="15">
        <v>1916.8409999999999</v>
      </c>
      <c r="C54" s="15">
        <v>24965.01</v>
      </c>
      <c r="D54" s="15">
        <v>5609.95</v>
      </c>
      <c r="E54" s="15">
        <v>8743.4840000000004</v>
      </c>
      <c r="F54" s="15">
        <v>25898.76</v>
      </c>
      <c r="G54" s="15">
        <v>14865.79</v>
      </c>
      <c r="H54" s="15">
        <v>6775.8</v>
      </c>
      <c r="I54" s="15">
        <v>2542.895</v>
      </c>
      <c r="J54" s="15">
        <v>12958.59</v>
      </c>
      <c r="K54" s="15">
        <v>10353.77</v>
      </c>
      <c r="L54" s="15">
        <v>1002.9</v>
      </c>
      <c r="M54" s="15">
        <v>8041.81</v>
      </c>
      <c r="N54" s="15">
        <v>44772.959999999999</v>
      </c>
      <c r="O54" s="15">
        <v>55025.37</v>
      </c>
      <c r="P54" s="15">
        <v>5794.68</v>
      </c>
      <c r="Q54" s="15">
        <v>17351.900000000001</v>
      </c>
      <c r="R54" s="15">
        <v>23640.03</v>
      </c>
    </row>
    <row r="55" spans="1:18">
      <c r="A55" s="23">
        <v>46093</v>
      </c>
      <c r="B55" s="15">
        <v>1903.4480000000001</v>
      </c>
      <c r="C55" s="15">
        <v>24533.58</v>
      </c>
      <c r="D55" s="15">
        <v>5583.25</v>
      </c>
      <c r="E55" s="15">
        <v>8629.0400000000009</v>
      </c>
      <c r="F55" s="15">
        <v>25716.76</v>
      </c>
      <c r="G55" s="15">
        <v>14814.38</v>
      </c>
      <c r="H55" s="15">
        <v>6672.62</v>
      </c>
      <c r="I55" s="15">
        <v>2488.9899999999998</v>
      </c>
      <c r="J55" s="15">
        <v>12842.16</v>
      </c>
      <c r="K55" s="15">
        <v>10305.15</v>
      </c>
      <c r="L55" s="15">
        <v>1000.62</v>
      </c>
      <c r="M55" s="15">
        <v>7984.44</v>
      </c>
      <c r="N55" s="15">
        <v>44456.18</v>
      </c>
      <c r="O55" s="15">
        <v>54452.959999999999</v>
      </c>
      <c r="P55" s="15">
        <v>5748.89</v>
      </c>
      <c r="Q55" s="15">
        <v>17139.900000000001</v>
      </c>
      <c r="R55" s="15">
        <v>23589.65</v>
      </c>
    </row>
    <row r="56" spans="1:18">
      <c r="A56" s="24">
        <v>46094</v>
      </c>
      <c r="B56" s="15">
        <v>1890.932</v>
      </c>
      <c r="C56" s="15">
        <v>24380.73</v>
      </c>
      <c r="D56" s="15">
        <v>5487.24</v>
      </c>
      <c r="E56" s="15">
        <v>8617.0910000000003</v>
      </c>
      <c r="F56" s="15">
        <v>25465.599999999999</v>
      </c>
      <c r="G56" s="15">
        <v>14808.14</v>
      </c>
      <c r="H56" s="15">
        <v>6632.19</v>
      </c>
      <c r="I56" s="15">
        <v>2480.0509999999999</v>
      </c>
      <c r="J56" s="15">
        <v>12839.27</v>
      </c>
      <c r="K56" s="15">
        <v>10261.15</v>
      </c>
      <c r="L56" s="15">
        <v>1001.66</v>
      </c>
      <c r="M56" s="15">
        <v>7911.53</v>
      </c>
      <c r="N56" s="15">
        <v>44316.92</v>
      </c>
      <c r="O56" s="15">
        <v>53819.61</v>
      </c>
      <c r="P56" s="15">
        <v>5716.61</v>
      </c>
      <c r="Q56" s="15">
        <v>17059.3</v>
      </c>
      <c r="R56" s="15">
        <v>23447.29</v>
      </c>
    </row>
    <row r="57" spans="1:18">
      <c r="A57" s="23">
        <v>46097</v>
      </c>
      <c r="B57" s="15">
        <v>1912.135</v>
      </c>
      <c r="C57" s="15">
        <v>24655.34</v>
      </c>
      <c r="D57" s="15">
        <v>5549.85</v>
      </c>
      <c r="E57" s="15">
        <v>8583.3780000000006</v>
      </c>
      <c r="F57" s="15">
        <v>25834.02</v>
      </c>
      <c r="G57" s="15">
        <v>14920.59</v>
      </c>
      <c r="H57" s="15">
        <v>6699.38</v>
      </c>
      <c r="I57" s="15">
        <v>2503.2919999999999</v>
      </c>
      <c r="J57" s="15">
        <v>12882.2</v>
      </c>
      <c r="K57" s="15">
        <v>10317.69</v>
      </c>
      <c r="L57" s="15">
        <v>1007.8</v>
      </c>
      <c r="M57" s="15">
        <v>7935.97</v>
      </c>
      <c r="N57" s="15">
        <v>44347.56</v>
      </c>
      <c r="O57" s="15">
        <v>53751.15</v>
      </c>
      <c r="P57" s="15">
        <v>5739.01</v>
      </c>
      <c r="Q57" s="15">
        <v>17089.400000000001</v>
      </c>
      <c r="R57" s="15">
        <v>23564.01</v>
      </c>
    </row>
    <row r="58" spans="1:18">
      <c r="A58" s="24">
        <v>46098</v>
      </c>
      <c r="B58" s="15">
        <v>1915.723</v>
      </c>
      <c r="C58" s="15">
        <v>24780.42</v>
      </c>
      <c r="D58" s="15">
        <v>5640.48</v>
      </c>
      <c r="E58" s="15">
        <v>8614.2800000000007</v>
      </c>
      <c r="F58" s="15">
        <v>25868.54</v>
      </c>
      <c r="G58" s="15">
        <v>14926.16</v>
      </c>
      <c r="H58" s="15">
        <v>6716.09</v>
      </c>
      <c r="I58" s="15">
        <v>2519.9940000000001</v>
      </c>
      <c r="J58" s="15">
        <v>12962.41</v>
      </c>
      <c r="K58" s="15">
        <v>10403.6</v>
      </c>
      <c r="L58" s="15">
        <v>1012.81</v>
      </c>
      <c r="M58" s="15">
        <v>7974.49</v>
      </c>
      <c r="N58" s="15">
        <v>44887.54</v>
      </c>
      <c r="O58" s="15">
        <v>53700.39</v>
      </c>
      <c r="P58" s="15">
        <v>5769.25</v>
      </c>
      <c r="Q58" s="15">
        <v>17248.7</v>
      </c>
      <c r="R58" s="15">
        <v>23730.92</v>
      </c>
    </row>
    <row r="59" spans="1:18">
      <c r="A59" s="23">
        <v>46099</v>
      </c>
      <c r="B59" s="15">
        <v>1884.5160000000001</v>
      </c>
      <c r="C59" s="15">
        <v>24425.09</v>
      </c>
      <c r="D59" s="15">
        <v>5925.03</v>
      </c>
      <c r="E59" s="15">
        <v>8640.6350000000002</v>
      </c>
      <c r="F59" s="15">
        <v>26025.42</v>
      </c>
      <c r="G59" s="15">
        <v>14946.35</v>
      </c>
      <c r="H59" s="15">
        <v>6624.7</v>
      </c>
      <c r="I59" s="15">
        <v>2478.6419999999998</v>
      </c>
      <c r="J59" s="15">
        <v>12765.48</v>
      </c>
      <c r="K59" s="15">
        <v>10305.290000000001</v>
      </c>
      <c r="L59" s="15">
        <v>999.98</v>
      </c>
      <c r="M59" s="15">
        <v>7969.88</v>
      </c>
      <c r="N59" s="15">
        <v>44741.34</v>
      </c>
      <c r="O59" s="15">
        <v>55239.4</v>
      </c>
      <c r="P59" s="15">
        <v>5736.85</v>
      </c>
      <c r="Q59" s="15">
        <v>17299.099999999999</v>
      </c>
      <c r="R59" s="15">
        <v>23502.25</v>
      </c>
    </row>
    <row r="60" spans="1:18">
      <c r="A60" s="24">
        <v>46100</v>
      </c>
      <c r="B60" s="15">
        <v>1862.4369999999999</v>
      </c>
      <c r="C60" s="15">
        <v>24355.279999999999</v>
      </c>
      <c r="D60" s="15">
        <v>5763.22</v>
      </c>
      <c r="E60" s="15">
        <v>8497.7849999999999</v>
      </c>
      <c r="F60" s="15">
        <v>25500.58</v>
      </c>
      <c r="G60" s="15">
        <v>14808.37</v>
      </c>
      <c r="H60" s="15">
        <v>6606.49</v>
      </c>
      <c r="I60" s="15">
        <v>2494.71</v>
      </c>
      <c r="J60" s="15">
        <v>12459.54</v>
      </c>
      <c r="K60" s="15">
        <v>10063.5</v>
      </c>
      <c r="L60" s="15">
        <v>977.63</v>
      </c>
      <c r="M60" s="15">
        <v>7807.87</v>
      </c>
      <c r="N60" s="15">
        <v>43701.38</v>
      </c>
      <c r="O60" s="15">
        <v>53372.53</v>
      </c>
      <c r="P60" s="15">
        <v>5613.83</v>
      </c>
      <c r="Q60" s="15">
        <v>16905.900000000001</v>
      </c>
      <c r="R60" s="15">
        <v>22839.56</v>
      </c>
    </row>
    <row r="61" spans="1:18">
      <c r="A61" s="23">
        <v>46101</v>
      </c>
      <c r="B61" s="15">
        <v>1832.5419999999999</v>
      </c>
      <c r="C61" s="15">
        <v>23898.15</v>
      </c>
      <c r="D61" s="15">
        <v>5781.2</v>
      </c>
      <c r="E61" s="15">
        <v>8428.4470000000001</v>
      </c>
      <c r="F61" s="15">
        <v>25277.32</v>
      </c>
      <c r="G61" s="15">
        <v>14833.34</v>
      </c>
      <c r="H61" s="15">
        <v>6506.48</v>
      </c>
      <c r="I61" s="15">
        <v>2438.451</v>
      </c>
      <c r="J61" s="15">
        <v>12320.99</v>
      </c>
      <c r="K61" s="15">
        <v>9918.33</v>
      </c>
      <c r="L61" s="15">
        <v>961.62</v>
      </c>
      <c r="M61" s="15">
        <v>7665.62</v>
      </c>
      <c r="N61" s="15">
        <v>42840.9</v>
      </c>
      <c r="O61" s="15" t="e">
        <v>#N/A</v>
      </c>
      <c r="P61" s="15">
        <v>5501.28</v>
      </c>
      <c r="Q61" s="15">
        <v>16714</v>
      </c>
      <c r="R61" s="15">
        <v>22380.19</v>
      </c>
    </row>
    <row r="62" spans="1:18">
      <c r="A62" s="24">
        <v>46104</v>
      </c>
      <c r="B62" s="15">
        <v>1862.62</v>
      </c>
      <c r="C62" s="15">
        <v>24188.59</v>
      </c>
      <c r="D62" s="15">
        <v>5405.75</v>
      </c>
      <c r="E62" s="15">
        <v>8365.9159999999993</v>
      </c>
      <c r="F62" s="15">
        <v>24382.47</v>
      </c>
      <c r="G62" s="15">
        <v>14387.58</v>
      </c>
      <c r="H62" s="15">
        <v>6581</v>
      </c>
      <c r="I62" s="15">
        <v>2494.2269999999999</v>
      </c>
      <c r="J62" s="15">
        <v>12389.68</v>
      </c>
      <c r="K62" s="15">
        <v>9894.15</v>
      </c>
      <c r="L62" s="15">
        <v>966.72</v>
      </c>
      <c r="M62" s="15">
        <v>7726.2</v>
      </c>
      <c r="N62" s="15">
        <v>43189.8</v>
      </c>
      <c r="O62" s="15">
        <v>51515.49</v>
      </c>
      <c r="P62" s="15">
        <v>5574.32</v>
      </c>
      <c r="Q62" s="15">
        <v>16888.2</v>
      </c>
      <c r="R62" s="15">
        <v>22653.86</v>
      </c>
    </row>
    <row r="63" spans="1:18">
      <c r="A63" s="23">
        <v>46105</v>
      </c>
      <c r="B63" s="15">
        <v>1864.172</v>
      </c>
      <c r="C63" s="15">
        <v>24002.45</v>
      </c>
      <c r="D63" s="15">
        <v>5553.92</v>
      </c>
      <c r="E63" s="15">
        <v>8379.3510000000006</v>
      </c>
      <c r="F63" s="15">
        <v>25063.71</v>
      </c>
      <c r="G63" s="15">
        <v>14515</v>
      </c>
      <c r="H63" s="15">
        <v>6556.37</v>
      </c>
      <c r="I63" s="15">
        <v>2505.4430000000002</v>
      </c>
      <c r="J63" s="15">
        <v>12515.94</v>
      </c>
      <c r="K63" s="15">
        <v>9965.16</v>
      </c>
      <c r="L63" s="15">
        <v>974.22</v>
      </c>
      <c r="M63" s="15">
        <v>7743.92</v>
      </c>
      <c r="N63" s="15">
        <v>43369.53</v>
      </c>
      <c r="O63" s="15">
        <v>52252.28</v>
      </c>
      <c r="P63" s="15">
        <v>5581.29</v>
      </c>
      <c r="Q63" s="15">
        <v>16910.2</v>
      </c>
      <c r="R63" s="15">
        <v>22636.91</v>
      </c>
    </row>
    <row r="64" spans="1:18">
      <c r="A64" s="24">
        <v>46106</v>
      </c>
      <c r="B64" s="15">
        <v>1887.5409999999999</v>
      </c>
      <c r="C64" s="15">
        <v>24162.98</v>
      </c>
      <c r="D64" s="15">
        <v>5642.21</v>
      </c>
      <c r="E64" s="15">
        <v>8534.2559999999994</v>
      </c>
      <c r="F64" s="15">
        <v>25335.95</v>
      </c>
      <c r="G64" s="15">
        <v>14684.93</v>
      </c>
      <c r="H64" s="15">
        <v>6591.9</v>
      </c>
      <c r="I64" s="15">
        <v>2536.3780000000002</v>
      </c>
      <c r="J64" s="15">
        <v>12718.36</v>
      </c>
      <c r="K64" s="15">
        <v>10106.84</v>
      </c>
      <c r="L64" s="15">
        <v>983.13</v>
      </c>
      <c r="M64" s="15">
        <v>7846.55</v>
      </c>
      <c r="N64" s="15">
        <v>44013.29</v>
      </c>
      <c r="O64" s="15">
        <v>53749.62</v>
      </c>
      <c r="P64" s="15">
        <v>5649.33</v>
      </c>
      <c r="Q64" s="15">
        <v>17169.900000000001</v>
      </c>
      <c r="R64" s="15">
        <v>22957.08</v>
      </c>
    </row>
    <row r="65" spans="1:18">
      <c r="A65" s="23">
        <v>46107</v>
      </c>
      <c r="B65" s="15">
        <v>1862.269</v>
      </c>
      <c r="C65" s="15">
        <v>23586.99</v>
      </c>
      <c r="D65" s="15">
        <v>5460.46</v>
      </c>
      <c r="E65" s="15">
        <v>8525.7209999999995</v>
      </c>
      <c r="F65" s="15">
        <v>24856.43</v>
      </c>
      <c r="G65" s="15">
        <v>14563.82</v>
      </c>
      <c r="H65" s="15">
        <v>6477.16</v>
      </c>
      <c r="I65" s="15">
        <v>2493.3209999999999</v>
      </c>
      <c r="J65" s="15">
        <v>12641.96</v>
      </c>
      <c r="K65" s="15">
        <v>9972.17</v>
      </c>
      <c r="L65" s="15">
        <v>970.78</v>
      </c>
      <c r="M65" s="15">
        <v>7769.31</v>
      </c>
      <c r="N65" s="15">
        <v>43701.84</v>
      </c>
      <c r="O65" s="15">
        <v>53603.65</v>
      </c>
      <c r="P65" s="15">
        <v>5565.93</v>
      </c>
      <c r="Q65" s="15">
        <v>16962.900000000001</v>
      </c>
      <c r="R65" s="15">
        <v>22612.97</v>
      </c>
    </row>
    <row r="66" spans="1:18">
      <c r="A66" s="24">
        <v>46108</v>
      </c>
      <c r="B66" s="15">
        <v>1861.991</v>
      </c>
      <c r="C66" s="15">
        <v>23132.77</v>
      </c>
      <c r="D66" s="15">
        <v>5438.87</v>
      </c>
      <c r="E66" s="15">
        <v>8516.277</v>
      </c>
      <c r="F66" s="15">
        <v>24951.88</v>
      </c>
      <c r="G66" s="15">
        <v>14653.97</v>
      </c>
      <c r="H66" s="15">
        <v>6368.85</v>
      </c>
      <c r="I66" s="15">
        <v>2449.6950000000002</v>
      </c>
      <c r="J66" s="15">
        <v>12570.26</v>
      </c>
      <c r="K66" s="15">
        <v>9967.35</v>
      </c>
      <c r="L66" s="15">
        <v>960.22</v>
      </c>
      <c r="M66" s="15">
        <v>7701.95</v>
      </c>
      <c r="N66" s="15">
        <v>43379.1</v>
      </c>
      <c r="O66" s="15">
        <v>53373.07</v>
      </c>
      <c r="P66" s="15">
        <v>5505.8</v>
      </c>
      <c r="Q66" s="15">
        <v>16802.5</v>
      </c>
      <c r="R66" s="15">
        <v>22300.75</v>
      </c>
    </row>
    <row r="67" spans="1:18">
      <c r="A67" s="23">
        <v>46111</v>
      </c>
      <c r="B67" s="15">
        <v>1862.088</v>
      </c>
      <c r="C67" s="15">
        <v>22953.38</v>
      </c>
      <c r="D67" s="15">
        <v>5277.3</v>
      </c>
      <c r="E67" s="15">
        <v>8460.9709999999995</v>
      </c>
      <c r="F67" s="15">
        <v>24750.79</v>
      </c>
      <c r="G67" s="15">
        <v>14642.42</v>
      </c>
      <c r="H67" s="15">
        <v>6343.72</v>
      </c>
      <c r="I67" s="15">
        <v>2414.0059999999999</v>
      </c>
      <c r="J67" s="15">
        <v>12668.67</v>
      </c>
      <c r="K67" s="15">
        <v>10127.959999999999</v>
      </c>
      <c r="L67" s="15">
        <v>964.48</v>
      </c>
      <c r="M67" s="15">
        <v>7772.45</v>
      </c>
      <c r="N67" s="15">
        <v>43823.24</v>
      </c>
      <c r="O67" s="15">
        <v>51885.85</v>
      </c>
      <c r="P67" s="15">
        <v>5541.79</v>
      </c>
      <c r="Q67" s="15">
        <v>16969.2</v>
      </c>
      <c r="R67" s="15">
        <v>22562.880000000001</v>
      </c>
    </row>
    <row r="68" spans="1:18">
      <c r="A68" s="24">
        <v>46112</v>
      </c>
      <c r="B68" s="15">
        <v>1905.2470000000001</v>
      </c>
      <c r="C68" s="15">
        <v>23740.19</v>
      </c>
      <c r="D68" s="15">
        <v>5052.46</v>
      </c>
      <c r="E68" s="15">
        <v>8481.7749999999996</v>
      </c>
      <c r="F68" s="15">
        <v>24788.14</v>
      </c>
      <c r="G68" s="15">
        <v>14573.82</v>
      </c>
      <c r="H68" s="15">
        <v>6528.52</v>
      </c>
      <c r="I68" s="15">
        <v>2496.3739999999998</v>
      </c>
      <c r="J68" s="15">
        <v>12776.79</v>
      </c>
      <c r="K68" s="15">
        <v>10176.450000000001</v>
      </c>
      <c r="L68" s="15">
        <v>959.8</v>
      </c>
      <c r="M68" s="15">
        <v>7816.94</v>
      </c>
      <c r="N68" s="15">
        <v>44309.71</v>
      </c>
      <c r="O68" s="15">
        <v>51063.72</v>
      </c>
      <c r="P68" s="15">
        <v>5569.73</v>
      </c>
      <c r="Q68" s="15">
        <v>17049.599999999999</v>
      </c>
      <c r="R68" s="15">
        <v>22680.04</v>
      </c>
    </row>
    <row r="69" spans="1:18">
      <c r="A69" s="23">
        <v>46113</v>
      </c>
      <c r="B69" s="15">
        <v>1913.6510000000001</v>
      </c>
      <c r="C69" s="15">
        <v>24019.99</v>
      </c>
      <c r="D69" s="15">
        <v>5478.7</v>
      </c>
      <c r="E69" s="15">
        <v>8671.7849999999999</v>
      </c>
      <c r="F69" s="15">
        <v>25294.03</v>
      </c>
      <c r="G69" s="15">
        <v>14792.22</v>
      </c>
      <c r="H69" s="15">
        <v>6575.32</v>
      </c>
      <c r="I69" s="15">
        <v>2512.3679999999999</v>
      </c>
      <c r="J69" s="15">
        <v>12991.25</v>
      </c>
      <c r="K69" s="15">
        <v>10364.790000000001</v>
      </c>
      <c r="L69" s="15">
        <v>976.73</v>
      </c>
      <c r="M69" s="15">
        <v>7981.27</v>
      </c>
      <c r="N69" s="15">
        <v>45714.95</v>
      </c>
      <c r="O69" s="15">
        <v>53739.68</v>
      </c>
      <c r="P69" s="15">
        <v>5732.71</v>
      </c>
      <c r="Q69" s="15">
        <v>17580.400000000001</v>
      </c>
      <c r="R69" s="15">
        <v>23298.89</v>
      </c>
    </row>
    <row r="70" spans="1:18">
      <c r="A70" s="24">
        <v>46114</v>
      </c>
      <c r="B70" s="15">
        <v>1923.7180000000001</v>
      </c>
      <c r="C70" s="15">
        <v>24045.53</v>
      </c>
      <c r="D70" s="15">
        <v>5234.05</v>
      </c>
      <c r="E70" s="15">
        <v>8579.4940000000006</v>
      </c>
      <c r="F70" s="15">
        <v>25116.53</v>
      </c>
      <c r="G70" s="15">
        <v>14684.93</v>
      </c>
      <c r="H70" s="15">
        <v>6582.69</v>
      </c>
      <c r="I70" s="15">
        <v>2530.0419999999999</v>
      </c>
      <c r="J70" s="15">
        <v>12981.97</v>
      </c>
      <c r="K70" s="15">
        <v>10436.290000000001</v>
      </c>
      <c r="L70" s="15">
        <v>975.86</v>
      </c>
      <c r="M70" s="15">
        <v>7962.39</v>
      </c>
      <c r="N70" s="15">
        <v>45624.94</v>
      </c>
      <c r="O70" s="15">
        <v>52463.27</v>
      </c>
      <c r="P70" s="15">
        <v>5692.86</v>
      </c>
      <c r="Q70" s="15">
        <v>17555.900000000001</v>
      </c>
      <c r="R70" s="15">
        <v>23168.080000000002</v>
      </c>
    </row>
    <row r="71" spans="1:18">
      <c r="A71" s="23">
        <v>46115</v>
      </c>
      <c r="B71" s="15" t="e">
        <v>#N/A</v>
      </c>
      <c r="C71" s="15" t="e">
        <v>#N/A</v>
      </c>
      <c r="D71" s="15">
        <v>5377.3</v>
      </c>
      <c r="E71" s="15" t="e">
        <v>#N/A</v>
      </c>
      <c r="F71" s="15" t="e">
        <v>#N/A</v>
      </c>
      <c r="G71" s="15">
        <v>14552.99</v>
      </c>
      <c r="H71" s="15" t="e">
        <v>#N/A</v>
      </c>
      <c r="I71" s="15" t="e">
        <v>#N/A</v>
      </c>
      <c r="J71" s="15" t="e">
        <v>#N/A</v>
      </c>
      <c r="K71" s="15" t="e">
        <v>#N/A</v>
      </c>
      <c r="L71" s="15" t="e">
        <v>#N/A</v>
      </c>
      <c r="M71" s="15" t="e">
        <v>#N/A</v>
      </c>
      <c r="N71" s="15" t="e">
        <v>#N/A</v>
      </c>
      <c r="O71" s="15">
        <v>53123.49</v>
      </c>
      <c r="P71" s="15" t="e">
        <v>#N/A</v>
      </c>
      <c r="Q71" s="15" t="e">
        <v>#N/A</v>
      </c>
      <c r="R71" s="15" t="e">
        <v>#N/A</v>
      </c>
    </row>
    <row r="72" spans="1:18">
      <c r="A72" s="24">
        <v>46118</v>
      </c>
      <c r="B72" s="15">
        <v>1927.683</v>
      </c>
      <c r="C72" s="15">
        <v>24192.17</v>
      </c>
      <c r="D72" s="15">
        <v>5450.33</v>
      </c>
      <c r="E72" s="15" t="e">
        <v>#N/A</v>
      </c>
      <c r="F72" s="15" t="e">
        <v>#N/A</v>
      </c>
      <c r="G72" s="15" t="e">
        <v>#N/A</v>
      </c>
      <c r="H72" s="15">
        <v>6611.83</v>
      </c>
      <c r="I72" s="15">
        <v>2540.643</v>
      </c>
      <c r="J72" s="15" t="e">
        <v>#N/A</v>
      </c>
      <c r="K72" s="15" t="e">
        <v>#N/A</v>
      </c>
      <c r="L72" s="15" t="e">
        <v>#N/A</v>
      </c>
      <c r="M72" s="15" t="e">
        <v>#N/A</v>
      </c>
      <c r="N72" s="15" t="e">
        <v>#N/A</v>
      </c>
      <c r="O72" s="15">
        <v>53413.68</v>
      </c>
      <c r="P72" s="15" t="e">
        <v>#N/A</v>
      </c>
      <c r="Q72" s="15" t="e">
        <v>#N/A</v>
      </c>
      <c r="R72" s="15" t="e">
        <v>#N/A</v>
      </c>
    </row>
    <row r="73" spans="1:18">
      <c r="A73" s="23">
        <v>46119</v>
      </c>
      <c r="B73" s="15">
        <v>1931.8420000000001</v>
      </c>
      <c r="C73" s="15">
        <v>24202.37</v>
      </c>
      <c r="D73" s="15">
        <v>5494.78</v>
      </c>
      <c r="E73" s="15">
        <v>8728.7759999999998</v>
      </c>
      <c r="F73" s="15" t="e">
        <v>#N/A</v>
      </c>
      <c r="G73" s="15">
        <v>14529.54</v>
      </c>
      <c r="H73" s="15">
        <v>6616.85</v>
      </c>
      <c r="I73" s="15">
        <v>2544.9450000000002</v>
      </c>
      <c r="J73" s="15">
        <v>12790.35</v>
      </c>
      <c r="K73" s="15">
        <v>10348.790000000001</v>
      </c>
      <c r="L73" s="15">
        <v>971.88</v>
      </c>
      <c r="M73" s="15">
        <v>7908.74</v>
      </c>
      <c r="N73" s="15">
        <v>45411.79</v>
      </c>
      <c r="O73" s="15">
        <v>53429.56</v>
      </c>
      <c r="P73" s="15">
        <v>5633.22</v>
      </c>
      <c r="Q73" s="15">
        <v>17444.3</v>
      </c>
      <c r="R73" s="15">
        <v>22921.59</v>
      </c>
    </row>
    <row r="74" spans="1:18">
      <c r="A74" s="24">
        <v>46120</v>
      </c>
      <c r="B74" s="15">
        <v>1953.1869999999999</v>
      </c>
      <c r="C74" s="15">
        <v>24903.17</v>
      </c>
      <c r="D74" s="15">
        <v>5872.34</v>
      </c>
      <c r="E74" s="15">
        <v>8951.8029999999999</v>
      </c>
      <c r="F74" s="15">
        <v>25893.02</v>
      </c>
      <c r="G74" s="15">
        <v>14942.88</v>
      </c>
      <c r="H74" s="15">
        <v>6782.81</v>
      </c>
      <c r="I74" s="15">
        <v>2620.4589999999998</v>
      </c>
      <c r="J74" s="15">
        <v>13113.43</v>
      </c>
      <c r="K74" s="15">
        <v>10608.88</v>
      </c>
      <c r="L74" s="15">
        <v>1003.2</v>
      </c>
      <c r="M74" s="15">
        <v>8263.8700000000008</v>
      </c>
      <c r="N74" s="15">
        <v>47091.55</v>
      </c>
      <c r="O74" s="15">
        <v>56308.42</v>
      </c>
      <c r="P74" s="15">
        <v>5913.37</v>
      </c>
      <c r="Q74" s="15">
        <v>18132.3</v>
      </c>
      <c r="R74" s="15">
        <v>24080.63</v>
      </c>
    </row>
    <row r="75" spans="1:18">
      <c r="A75" s="23">
        <v>46121</v>
      </c>
      <c r="B75" s="15">
        <v>1944.117</v>
      </c>
      <c r="C75" s="15">
        <v>25082.09</v>
      </c>
      <c r="D75" s="15">
        <v>5778.01</v>
      </c>
      <c r="E75" s="15">
        <v>8973.2049999999999</v>
      </c>
      <c r="F75" s="15">
        <v>25752.400000000001</v>
      </c>
      <c r="G75" s="15">
        <v>14851.84</v>
      </c>
      <c r="H75" s="15">
        <v>6824.66</v>
      </c>
      <c r="I75" s="15">
        <v>2636.31</v>
      </c>
      <c r="J75" s="15">
        <v>13159.56</v>
      </c>
      <c r="K75" s="15">
        <v>10603.48</v>
      </c>
      <c r="L75" s="15">
        <v>1005.12</v>
      </c>
      <c r="M75" s="15">
        <v>8245.7999999999993</v>
      </c>
      <c r="N75" s="15">
        <v>47327.99</v>
      </c>
      <c r="O75" s="15">
        <v>55895.32</v>
      </c>
      <c r="P75" s="15">
        <v>5896.29</v>
      </c>
      <c r="Q75" s="15">
        <v>18104.900000000001</v>
      </c>
      <c r="R75" s="15">
        <v>23806.99</v>
      </c>
    </row>
    <row r="76" spans="1:18">
      <c r="A76" s="24">
        <v>46122</v>
      </c>
      <c r="B76" s="15">
        <v>1955.529</v>
      </c>
      <c r="C76" s="15">
        <v>25116.34</v>
      </c>
      <c r="D76" s="15">
        <v>5858.87</v>
      </c>
      <c r="E76" s="15">
        <v>8960.6110000000008</v>
      </c>
      <c r="F76" s="15">
        <v>25893.54</v>
      </c>
      <c r="G76" s="15">
        <v>15083.32</v>
      </c>
      <c r="H76" s="15">
        <v>6816.89</v>
      </c>
      <c r="I76" s="15">
        <v>2630.5880000000002</v>
      </c>
      <c r="J76" s="15">
        <v>13183.28</v>
      </c>
      <c r="K76" s="15">
        <v>10600.53</v>
      </c>
      <c r="L76" s="15">
        <v>1010.25</v>
      </c>
      <c r="M76" s="15">
        <v>8259.6</v>
      </c>
      <c r="N76" s="15">
        <v>47609.36</v>
      </c>
      <c r="O76" s="15">
        <v>56924.11</v>
      </c>
      <c r="P76" s="15">
        <v>5926.11</v>
      </c>
      <c r="Q76" s="15">
        <v>18204.3</v>
      </c>
      <c r="R76" s="15">
        <v>23803.95</v>
      </c>
    </row>
    <row r="77" spans="1:18">
      <c r="A77" s="23">
        <v>46125</v>
      </c>
      <c r="B77" s="15">
        <v>1966.904</v>
      </c>
      <c r="C77" s="15">
        <v>25383.72</v>
      </c>
      <c r="D77" s="15">
        <v>5808.62</v>
      </c>
      <c r="E77" s="15">
        <v>8926.0409999999993</v>
      </c>
      <c r="F77" s="15">
        <v>25660.85</v>
      </c>
      <c r="G77" s="15">
        <v>15129.07</v>
      </c>
      <c r="H77" s="15">
        <v>6886.24</v>
      </c>
      <c r="I77" s="15">
        <v>2670.4920000000002</v>
      </c>
      <c r="J77" s="15">
        <v>13145.91</v>
      </c>
      <c r="K77" s="15">
        <v>10582.96</v>
      </c>
      <c r="L77" s="15">
        <v>1012.18</v>
      </c>
      <c r="M77" s="15">
        <v>8235.98</v>
      </c>
      <c r="N77" s="15">
        <v>47527.16</v>
      </c>
      <c r="O77" s="15">
        <v>56502.77</v>
      </c>
      <c r="P77" s="15">
        <v>5905.02</v>
      </c>
      <c r="Q77" s="15">
        <v>18023.8</v>
      </c>
      <c r="R77" s="15">
        <v>23742.44</v>
      </c>
    </row>
    <row r="78" spans="1:18">
      <c r="A78" s="24">
        <v>46126</v>
      </c>
      <c r="B78" s="15">
        <v>1978.212</v>
      </c>
      <c r="C78" s="15">
        <v>25842</v>
      </c>
      <c r="D78" s="15">
        <v>5967.75</v>
      </c>
      <c r="E78" s="15">
        <v>8970.8179999999993</v>
      </c>
      <c r="F78" s="15">
        <v>25872.32</v>
      </c>
      <c r="G78" s="15">
        <v>15311.9</v>
      </c>
      <c r="H78" s="15">
        <v>6967.38</v>
      </c>
      <c r="I78" s="15">
        <v>2705.6680000000001</v>
      </c>
      <c r="J78" s="15">
        <v>13269.77</v>
      </c>
      <c r="K78" s="15">
        <v>10609.06</v>
      </c>
      <c r="L78" s="15">
        <v>1019.82</v>
      </c>
      <c r="M78" s="15">
        <v>8327.86</v>
      </c>
      <c r="N78" s="15">
        <v>48175.65</v>
      </c>
      <c r="O78" s="15">
        <v>57877.39</v>
      </c>
      <c r="P78" s="15">
        <v>5984.51</v>
      </c>
      <c r="Q78" s="15">
        <v>18286.099999999999</v>
      </c>
      <c r="R78" s="15">
        <v>24044.22</v>
      </c>
    </row>
    <row r="79" spans="1:18">
      <c r="A79" s="23">
        <v>46127</v>
      </c>
      <c r="B79" s="15">
        <v>1986.829</v>
      </c>
      <c r="C79" s="15">
        <v>26204.58</v>
      </c>
      <c r="D79" s="15">
        <v>6091.39</v>
      </c>
      <c r="E79" s="15">
        <v>8978.6890000000003</v>
      </c>
      <c r="F79" s="15">
        <v>25947.32</v>
      </c>
      <c r="G79" s="15">
        <v>15341.29</v>
      </c>
      <c r="H79" s="15">
        <v>7022.95</v>
      </c>
      <c r="I79" s="15">
        <v>2713.663</v>
      </c>
      <c r="J79" s="15">
        <v>13219.58</v>
      </c>
      <c r="K79" s="15">
        <v>10559.58</v>
      </c>
      <c r="L79" s="15">
        <v>1015.57</v>
      </c>
      <c r="M79" s="15">
        <v>8274.57</v>
      </c>
      <c r="N79" s="15">
        <v>48155.82</v>
      </c>
      <c r="O79" s="15">
        <v>58134.239999999998</v>
      </c>
      <c r="P79" s="15">
        <v>5940.34</v>
      </c>
      <c r="Q79" s="15">
        <v>18185.8</v>
      </c>
      <c r="R79" s="15">
        <v>24066.7</v>
      </c>
    </row>
    <row r="80" spans="1:18">
      <c r="A80" s="24">
        <v>46128</v>
      </c>
      <c r="B80" s="15">
        <v>1979.002</v>
      </c>
      <c r="C80" s="15">
        <v>26333</v>
      </c>
      <c r="D80" s="15">
        <v>6226.05</v>
      </c>
      <c r="E80" s="15">
        <v>8955.018</v>
      </c>
      <c r="F80" s="15">
        <v>26394.26</v>
      </c>
      <c r="G80" s="15">
        <v>15523.97</v>
      </c>
      <c r="H80" s="15">
        <v>7041.28</v>
      </c>
      <c r="I80" s="15">
        <v>2719.6019999999999</v>
      </c>
      <c r="J80" s="15">
        <v>13173.17</v>
      </c>
      <c r="K80" s="15">
        <v>10589.99</v>
      </c>
      <c r="L80" s="15">
        <v>1016.71</v>
      </c>
      <c r="M80" s="15">
        <v>8262.7000000000007</v>
      </c>
      <c r="N80" s="15">
        <v>48026.94</v>
      </c>
      <c r="O80" s="15">
        <v>59518.34</v>
      </c>
      <c r="P80" s="15">
        <v>5933.28</v>
      </c>
      <c r="Q80" s="15">
        <v>18089.5</v>
      </c>
      <c r="R80" s="15">
        <v>24154.47</v>
      </c>
    </row>
    <row r="81" spans="1:18">
      <c r="A81" s="23">
        <v>46129</v>
      </c>
      <c r="B81" s="15">
        <v>1995.5029999999999</v>
      </c>
      <c r="C81" s="15">
        <v>26672.43</v>
      </c>
      <c r="D81" s="15">
        <v>6191.92</v>
      </c>
      <c r="E81" s="15">
        <v>8946.9290000000001</v>
      </c>
      <c r="F81" s="15">
        <v>26160.33</v>
      </c>
      <c r="G81" s="15">
        <v>15463.08</v>
      </c>
      <c r="H81" s="15">
        <v>7126.06</v>
      </c>
      <c r="I81" s="15">
        <v>2776.9</v>
      </c>
      <c r="J81" s="15">
        <v>13426.72</v>
      </c>
      <c r="K81" s="15">
        <v>10667.63</v>
      </c>
      <c r="L81" s="15">
        <v>1023.68</v>
      </c>
      <c r="M81" s="15">
        <v>8425.1299999999992</v>
      </c>
      <c r="N81" s="15">
        <v>48869.43</v>
      </c>
      <c r="O81" s="15">
        <v>58475.9</v>
      </c>
      <c r="P81" s="15">
        <v>6057.71</v>
      </c>
      <c r="Q81" s="15">
        <v>18484.5</v>
      </c>
      <c r="R81" s="15">
        <v>24702.240000000002</v>
      </c>
    </row>
    <row r="82" spans="1:18">
      <c r="A82" s="24">
        <v>46132</v>
      </c>
      <c r="B82" s="15">
        <v>1998.037</v>
      </c>
      <c r="C82" s="15">
        <v>26590.34</v>
      </c>
      <c r="D82" s="15">
        <v>6219.09</v>
      </c>
      <c r="E82" s="15">
        <v>8953.2890000000007</v>
      </c>
      <c r="F82" s="15">
        <v>26361.07</v>
      </c>
      <c r="G82" s="15">
        <v>15531.5</v>
      </c>
      <c r="H82" s="15">
        <v>7109.14</v>
      </c>
      <c r="I82" s="15">
        <v>2792.9580000000001</v>
      </c>
      <c r="J82" s="15">
        <v>13284.22</v>
      </c>
      <c r="K82" s="15">
        <v>10609.08</v>
      </c>
      <c r="L82" s="15">
        <v>1021.96</v>
      </c>
      <c r="M82" s="15">
        <v>8331.0499999999993</v>
      </c>
      <c r="N82" s="15">
        <v>48207.02</v>
      </c>
      <c r="O82" s="15">
        <v>58824.89</v>
      </c>
      <c r="P82" s="15">
        <v>5982.63</v>
      </c>
      <c r="Q82" s="15">
        <v>18260.900000000001</v>
      </c>
      <c r="R82" s="15">
        <v>24417.8</v>
      </c>
    </row>
    <row r="83" spans="1:18">
      <c r="A83" s="23">
        <v>46133</v>
      </c>
      <c r="B83" s="15">
        <v>1972.348</v>
      </c>
      <c r="C83" s="15">
        <v>26479.47</v>
      </c>
      <c r="D83" s="15">
        <v>6388.47</v>
      </c>
      <c r="E83" s="15">
        <v>8949.393</v>
      </c>
      <c r="F83" s="15">
        <v>26487.48</v>
      </c>
      <c r="G83" s="15">
        <v>15557.07</v>
      </c>
      <c r="H83" s="15">
        <v>7064.01</v>
      </c>
      <c r="I83" s="15">
        <v>2764.97</v>
      </c>
      <c r="J83" s="15">
        <v>13134.14</v>
      </c>
      <c r="K83" s="15">
        <v>10498.09</v>
      </c>
      <c r="L83" s="15">
        <v>1019.05</v>
      </c>
      <c r="M83" s="15">
        <v>8235.7199999999993</v>
      </c>
      <c r="N83" s="15">
        <v>47903.29</v>
      </c>
      <c r="O83" s="15">
        <v>59349.17</v>
      </c>
      <c r="P83" s="15">
        <v>5930.25</v>
      </c>
      <c r="Q83" s="15">
        <v>18142.599999999999</v>
      </c>
      <c r="R83" s="15">
        <v>24270.87</v>
      </c>
    </row>
    <row r="84" spans="1:18">
      <c r="A84" s="24">
        <v>46134</v>
      </c>
      <c r="B84" s="15">
        <v>1976.729</v>
      </c>
      <c r="C84" s="15">
        <v>26937.279999999999</v>
      </c>
      <c r="D84" s="15">
        <v>6417.93</v>
      </c>
      <c r="E84" s="15">
        <v>8843.5570000000007</v>
      </c>
      <c r="F84" s="15">
        <v>26163.24</v>
      </c>
      <c r="G84" s="15">
        <v>15644.09</v>
      </c>
      <c r="H84" s="15">
        <v>7137.9</v>
      </c>
      <c r="I84" s="15">
        <v>2785.377</v>
      </c>
      <c r="J84" s="15">
        <v>13067.63</v>
      </c>
      <c r="K84" s="15">
        <v>10476.459999999999</v>
      </c>
      <c r="L84" s="15">
        <v>1021.26</v>
      </c>
      <c r="M84" s="15">
        <v>8156.43</v>
      </c>
      <c r="N84" s="15">
        <v>47785.46</v>
      </c>
      <c r="O84" s="15">
        <v>59585.86</v>
      </c>
      <c r="P84" s="15">
        <v>5906.22</v>
      </c>
      <c r="Q84" s="15">
        <v>18006.400000000001</v>
      </c>
      <c r="R84" s="15">
        <v>24194.9</v>
      </c>
    </row>
    <row r="85" spans="1:18">
      <c r="A85" s="23">
        <v>46135</v>
      </c>
      <c r="B85" s="15">
        <v>1975.8589999999999</v>
      </c>
      <c r="C85" s="15">
        <v>26782.63</v>
      </c>
      <c r="D85" s="15">
        <v>6475.81</v>
      </c>
      <c r="E85" s="15">
        <v>8793.41</v>
      </c>
      <c r="F85" s="15">
        <v>25915.200000000001</v>
      </c>
      <c r="G85" s="15">
        <v>15641.17</v>
      </c>
      <c r="H85" s="15">
        <v>7108.4</v>
      </c>
      <c r="I85" s="15">
        <v>2775.096</v>
      </c>
      <c r="J85" s="15">
        <v>13248.06</v>
      </c>
      <c r="K85" s="15">
        <v>10457.01</v>
      </c>
      <c r="L85" s="15">
        <v>1014.08</v>
      </c>
      <c r="M85" s="15">
        <v>8227.32</v>
      </c>
      <c r="N85" s="15">
        <v>47907.41</v>
      </c>
      <c r="O85" s="15">
        <v>59140.23</v>
      </c>
      <c r="P85" s="15">
        <v>5894.73</v>
      </c>
      <c r="Q85" s="15">
        <v>17885.900000000001</v>
      </c>
      <c r="R85" s="15">
        <v>24155.45</v>
      </c>
    </row>
    <row r="86" spans="1:18">
      <c r="A86" s="24">
        <v>46136</v>
      </c>
      <c r="B86" s="15">
        <v>1975.2080000000001</v>
      </c>
      <c r="C86" s="15">
        <v>27303.67</v>
      </c>
      <c r="D86" s="15">
        <v>6475.63</v>
      </c>
      <c r="E86" s="15">
        <v>8786.5220000000008</v>
      </c>
      <c r="F86" s="15">
        <v>25978.07</v>
      </c>
      <c r="G86" s="15">
        <v>15614.19</v>
      </c>
      <c r="H86" s="15">
        <v>7165.08</v>
      </c>
      <c r="I86" s="15">
        <v>2787</v>
      </c>
      <c r="J86" s="15">
        <v>13169.7</v>
      </c>
      <c r="K86" s="15">
        <v>10379.08</v>
      </c>
      <c r="L86" s="15">
        <v>1020.6</v>
      </c>
      <c r="M86" s="15">
        <v>8157.82</v>
      </c>
      <c r="N86" s="15">
        <v>47656.11</v>
      </c>
      <c r="O86" s="15">
        <v>59716.18</v>
      </c>
      <c r="P86" s="15">
        <v>5883.48</v>
      </c>
      <c r="Q86" s="15">
        <v>17691.3</v>
      </c>
      <c r="R86" s="15">
        <v>24128.98</v>
      </c>
    </row>
    <row r="87" spans="1:18">
      <c r="A87" s="23">
        <v>46139</v>
      </c>
      <c r="B87" s="15">
        <v>1968.7149999999999</v>
      </c>
      <c r="C87" s="15">
        <v>27305.68</v>
      </c>
      <c r="D87" s="15">
        <v>6615.03</v>
      </c>
      <c r="E87" s="15">
        <v>8766.3549999999996</v>
      </c>
      <c r="F87" s="15">
        <v>25925.65</v>
      </c>
      <c r="G87" s="15">
        <v>15546.29</v>
      </c>
      <c r="H87" s="15">
        <v>7173.91</v>
      </c>
      <c r="I87" s="15">
        <v>2788.1889999999999</v>
      </c>
      <c r="J87" s="15">
        <v>13165.23</v>
      </c>
      <c r="K87" s="15">
        <v>10321.09</v>
      </c>
      <c r="L87" s="15">
        <v>1008.91</v>
      </c>
      <c r="M87" s="15">
        <v>8141.92</v>
      </c>
      <c r="N87" s="15">
        <v>47673.91</v>
      </c>
      <c r="O87" s="15">
        <v>60537.36</v>
      </c>
      <c r="P87" s="15">
        <v>5860.32</v>
      </c>
      <c r="Q87" s="15">
        <v>17692.900000000001</v>
      </c>
      <c r="R87" s="15">
        <v>24083.53</v>
      </c>
    </row>
    <row r="88" spans="1:18">
      <c r="A88" s="24">
        <v>46140</v>
      </c>
      <c r="B88" s="15">
        <v>1958.991</v>
      </c>
      <c r="C88" s="15">
        <v>27029.01</v>
      </c>
      <c r="D88" s="15">
        <v>6641.02</v>
      </c>
      <c r="E88" s="15">
        <v>8710.6740000000009</v>
      </c>
      <c r="F88" s="15">
        <v>25679.78</v>
      </c>
      <c r="G88" s="15">
        <v>15544.7</v>
      </c>
      <c r="H88" s="15">
        <v>7138.8</v>
      </c>
      <c r="I88" s="15">
        <v>2756.0509999999999</v>
      </c>
      <c r="J88" s="15">
        <v>13147.94</v>
      </c>
      <c r="K88" s="15">
        <v>10332.790000000001</v>
      </c>
      <c r="L88" s="15">
        <v>1001.01</v>
      </c>
      <c r="M88" s="15">
        <v>8104.09</v>
      </c>
      <c r="N88" s="15">
        <v>48040.24</v>
      </c>
      <c r="O88" s="15">
        <v>59917.46</v>
      </c>
      <c r="P88" s="15">
        <v>5836.1</v>
      </c>
      <c r="Q88" s="15">
        <v>17774.900000000001</v>
      </c>
      <c r="R88" s="15">
        <v>24018.26</v>
      </c>
    </row>
    <row r="89" spans="1:18">
      <c r="A89" s="23">
        <v>46141</v>
      </c>
      <c r="B89" s="15">
        <v>1943.8050000000001</v>
      </c>
      <c r="C89" s="15">
        <v>27186.98</v>
      </c>
      <c r="D89" s="15">
        <v>6690.9</v>
      </c>
      <c r="E89" s="15">
        <v>8686.9860000000008</v>
      </c>
      <c r="F89" s="15">
        <v>26111.84</v>
      </c>
      <c r="G89" s="15">
        <v>15666.89</v>
      </c>
      <c r="H89" s="15">
        <v>7135.95</v>
      </c>
      <c r="I89" s="15">
        <v>2739.4720000000002</v>
      </c>
      <c r="J89" s="15">
        <v>13031.9</v>
      </c>
      <c r="K89" s="15">
        <v>10213.11</v>
      </c>
      <c r="L89" s="15">
        <v>997.18</v>
      </c>
      <c r="M89" s="15">
        <v>8072.13</v>
      </c>
      <c r="N89" s="15">
        <v>47796.03</v>
      </c>
      <c r="O89" s="15" t="e">
        <v>#N/A</v>
      </c>
      <c r="P89" s="15">
        <v>5816.48</v>
      </c>
      <c r="Q89" s="15">
        <v>17642.8</v>
      </c>
      <c r="R89" s="15">
        <v>23954.560000000001</v>
      </c>
    </row>
    <row r="90" spans="1:18">
      <c r="A90" s="24">
        <v>46142</v>
      </c>
      <c r="B90" s="15">
        <v>1982.7170000000001</v>
      </c>
      <c r="C90" s="15">
        <v>27452.12</v>
      </c>
      <c r="D90" s="15">
        <v>6598.87</v>
      </c>
      <c r="E90" s="15">
        <v>8665.8189999999995</v>
      </c>
      <c r="F90" s="15">
        <v>25776.53</v>
      </c>
      <c r="G90" s="15">
        <v>15654.59</v>
      </c>
      <c r="H90" s="15">
        <v>7209.01</v>
      </c>
      <c r="I90" s="15">
        <v>2799.9050000000002</v>
      </c>
      <c r="J90" s="15">
        <v>13136.27</v>
      </c>
      <c r="K90" s="15">
        <v>10378.82</v>
      </c>
      <c r="L90" s="15">
        <v>1014.09</v>
      </c>
      <c r="M90" s="15">
        <v>8114.84</v>
      </c>
      <c r="N90" s="15">
        <v>48246.12</v>
      </c>
      <c r="O90" s="15">
        <v>59284.92</v>
      </c>
      <c r="P90" s="15">
        <v>5881.51</v>
      </c>
      <c r="Q90" s="15">
        <v>17781</v>
      </c>
      <c r="R90" s="15">
        <v>24292.38</v>
      </c>
    </row>
    <row r="91" spans="1:18">
      <c r="A91" s="23">
        <v>46143</v>
      </c>
      <c r="B91" s="15">
        <v>1977.8030000000001</v>
      </c>
      <c r="C91" s="15">
        <v>27710.36</v>
      </c>
      <c r="D91" s="15" t="e">
        <v>#N/A</v>
      </c>
      <c r="E91" s="15">
        <v>8729.8389999999999</v>
      </c>
      <c r="F91" s="15" t="e">
        <v>#N/A</v>
      </c>
      <c r="G91" s="15" t="e">
        <v>#N/A</v>
      </c>
      <c r="H91" s="15">
        <v>7230.12</v>
      </c>
      <c r="I91" s="15">
        <v>2812.8220000000001</v>
      </c>
      <c r="J91" s="15" t="e">
        <v>#N/A</v>
      </c>
      <c r="K91" s="15">
        <v>10363.93</v>
      </c>
      <c r="L91" s="15" t="e">
        <v>#N/A</v>
      </c>
      <c r="M91" s="15" t="e">
        <v>#N/A</v>
      </c>
      <c r="N91" s="15" t="e">
        <v>#N/A</v>
      </c>
      <c r="O91" s="15">
        <v>59513.120000000003</v>
      </c>
      <c r="P91" s="15">
        <v>5881.51</v>
      </c>
      <c r="Q91" s="15" t="e">
        <v>#N/A</v>
      </c>
      <c r="R91" s="15" t="e">
        <v>#N/A</v>
      </c>
    </row>
    <row r="92" spans="1:18">
      <c r="A92" s="24">
        <v>46146</v>
      </c>
      <c r="B92" s="15">
        <v>1963.7739999999999</v>
      </c>
      <c r="C92" s="15">
        <v>27651.82</v>
      </c>
      <c r="D92" s="15">
        <v>6936.99</v>
      </c>
      <c r="E92" s="15">
        <v>8697.1059999999998</v>
      </c>
      <c r="F92" s="15">
        <v>26095.88</v>
      </c>
      <c r="G92" s="15" t="e">
        <v>#N/A</v>
      </c>
      <c r="H92" s="15">
        <v>7200.75</v>
      </c>
      <c r="I92" s="15">
        <v>2795.9969999999998</v>
      </c>
      <c r="J92" s="15">
        <v>13003.33</v>
      </c>
      <c r="K92" s="15" t="e">
        <v>#N/A</v>
      </c>
      <c r="L92" s="15">
        <v>1004.98</v>
      </c>
      <c r="M92" s="15">
        <v>7976.12</v>
      </c>
      <c r="N92" s="15">
        <v>47478.13</v>
      </c>
      <c r="O92" s="15" t="e">
        <v>#N/A</v>
      </c>
      <c r="P92" s="15">
        <v>5763.61</v>
      </c>
      <c r="Q92" s="15">
        <v>17356.099999999999</v>
      </c>
      <c r="R92" s="15">
        <v>23991.27</v>
      </c>
    </row>
    <row r="93" spans="1:18">
      <c r="A93" s="25">
        <v>46147</v>
      </c>
      <c r="B93">
        <v>1958.2529999999999</v>
      </c>
      <c r="C93">
        <v>28015.06</v>
      </c>
      <c r="D93" t="e">
        <v>#N/A</v>
      </c>
      <c r="E93">
        <v>8680.4539999999997</v>
      </c>
      <c r="F93">
        <v>25898.61</v>
      </c>
      <c r="G93" t="e">
        <v>#N/A</v>
      </c>
      <c r="H93">
        <v>7259.22</v>
      </c>
      <c r="I93">
        <v>2845.0039999999999</v>
      </c>
      <c r="J93">
        <v>13052.17</v>
      </c>
      <c r="K93">
        <v>10219.11</v>
      </c>
      <c r="L93">
        <v>1014.5</v>
      </c>
      <c r="M93">
        <v>8062.31</v>
      </c>
      <c r="N93">
        <v>48557.5</v>
      </c>
      <c r="O93" t="e">
        <v>#N/A</v>
      </c>
      <c r="P93">
        <v>5869.63</v>
      </c>
      <c r="Q93">
        <v>17667.7</v>
      </c>
      <c r="R93">
        <v>24401.7</v>
      </c>
    </row>
    <row r="94" spans="1:18">
      <c r="A94" s="25">
        <v>46148</v>
      </c>
      <c r="B94">
        <v>1974.4079999999999</v>
      </c>
      <c r="C94">
        <v>28599.17</v>
      </c>
      <c r="D94">
        <v>7384.56</v>
      </c>
      <c r="E94">
        <v>8793.6350000000002</v>
      </c>
      <c r="F94">
        <v>26213.78</v>
      </c>
      <c r="G94">
        <v>15831.25</v>
      </c>
      <c r="H94">
        <v>7365.12</v>
      </c>
      <c r="I94">
        <v>2886.7719999999999</v>
      </c>
      <c r="J94">
        <v>13283.26</v>
      </c>
      <c r="K94">
        <v>10438.66</v>
      </c>
      <c r="L94">
        <v>1031.44</v>
      </c>
      <c r="M94">
        <v>8299.42</v>
      </c>
      <c r="N94">
        <v>49696.75</v>
      </c>
      <c r="O94" t="e">
        <v>#N/A</v>
      </c>
      <c r="P94">
        <v>6027.13</v>
      </c>
      <c r="Q94">
        <v>18104.3</v>
      </c>
      <c r="R94">
        <v>24918.69</v>
      </c>
    </row>
    <row r="95" spans="1:18">
      <c r="A95" s="25">
        <v>46149</v>
      </c>
      <c r="B95">
        <v>1965.0740000000001</v>
      </c>
      <c r="C95">
        <v>28563.95</v>
      </c>
      <c r="D95">
        <v>7490.05</v>
      </c>
      <c r="E95">
        <v>8878.1329999999998</v>
      </c>
      <c r="F95">
        <v>26626.28</v>
      </c>
      <c r="G95">
        <v>15836.75</v>
      </c>
      <c r="H95">
        <v>7337.11</v>
      </c>
      <c r="I95">
        <v>2839.6260000000002</v>
      </c>
      <c r="J95">
        <v>13135.43</v>
      </c>
      <c r="K95">
        <v>10276.950000000001</v>
      </c>
      <c r="L95">
        <v>1019.42</v>
      </c>
      <c r="M95">
        <v>8202.08</v>
      </c>
      <c r="N95">
        <v>49291.01</v>
      </c>
      <c r="O95">
        <v>62833.84</v>
      </c>
      <c r="P95">
        <v>5972.65</v>
      </c>
      <c r="Q95">
        <v>18060.8</v>
      </c>
      <c r="R95">
        <v>24663.61</v>
      </c>
    </row>
    <row r="96" spans="1:18">
      <c r="A96" s="25">
        <v>46150</v>
      </c>
      <c r="B96">
        <v>1977.4090000000001</v>
      </c>
      <c r="C96">
        <v>29234.99</v>
      </c>
      <c r="D96">
        <v>7498</v>
      </c>
      <c r="E96">
        <v>8744.3529999999992</v>
      </c>
      <c r="F96">
        <v>26393.71</v>
      </c>
      <c r="G96">
        <v>15693.54</v>
      </c>
      <c r="H96">
        <v>7398.93</v>
      </c>
      <c r="I96">
        <v>2861.2089999999998</v>
      </c>
      <c r="J96">
        <v>13100.63</v>
      </c>
      <c r="K96">
        <v>10233.07</v>
      </c>
      <c r="L96">
        <v>1017.5</v>
      </c>
      <c r="M96">
        <v>8112.57</v>
      </c>
      <c r="N96">
        <v>49289.54</v>
      </c>
      <c r="O96">
        <v>62713.65</v>
      </c>
      <c r="P96">
        <v>5911.53</v>
      </c>
      <c r="Q96">
        <v>17889.400000000001</v>
      </c>
      <c r="R96">
        <v>24338.63</v>
      </c>
    </row>
    <row r="97" spans="1:18">
      <c r="A97" s="25">
        <v>46153</v>
      </c>
      <c r="B97">
        <v>1977.239</v>
      </c>
      <c r="C97">
        <v>29320.66</v>
      </c>
      <c r="D97">
        <v>7822.24</v>
      </c>
      <c r="E97">
        <v>8701.7620000000006</v>
      </c>
      <c r="F97">
        <v>26406.84</v>
      </c>
      <c r="G97">
        <v>15910.01</v>
      </c>
      <c r="H97">
        <v>7412.84</v>
      </c>
      <c r="I97">
        <v>2870.64</v>
      </c>
      <c r="J97">
        <v>13101.33</v>
      </c>
      <c r="K97">
        <v>10269.43</v>
      </c>
      <c r="L97">
        <v>1015.13</v>
      </c>
      <c r="M97">
        <v>8056.38</v>
      </c>
      <c r="N97">
        <v>49664.95</v>
      </c>
      <c r="O97">
        <v>62417.88</v>
      </c>
      <c r="P97">
        <v>5895.45</v>
      </c>
      <c r="Q97">
        <v>17852.5</v>
      </c>
      <c r="R97">
        <v>24350.28</v>
      </c>
    </row>
    <row r="98" spans="1:18">
      <c r="A98" s="25">
        <v>46154</v>
      </c>
      <c r="B98">
        <v>1985.1079999999999</v>
      </c>
      <c r="C98">
        <v>29064.799999999999</v>
      </c>
      <c r="D98">
        <v>7643.15</v>
      </c>
      <c r="E98">
        <v>8670.6790000000001</v>
      </c>
      <c r="F98">
        <v>26347.91</v>
      </c>
      <c r="G98">
        <v>15976.57</v>
      </c>
      <c r="H98">
        <v>7400.96</v>
      </c>
      <c r="I98">
        <v>2842.8310000000001</v>
      </c>
      <c r="J98">
        <v>13119.53</v>
      </c>
      <c r="K98">
        <v>10265.32</v>
      </c>
      <c r="L98">
        <v>999.44</v>
      </c>
      <c r="M98">
        <v>7979.92</v>
      </c>
      <c r="N98">
        <v>48990.98</v>
      </c>
      <c r="O98">
        <v>62742.57</v>
      </c>
      <c r="P98">
        <v>5808.45</v>
      </c>
      <c r="Q98">
        <v>17573.599999999999</v>
      </c>
      <c r="R98">
        <v>23954.93</v>
      </c>
    </row>
    <row r="99" spans="1:18">
      <c r="A99" s="25">
        <v>46155</v>
      </c>
      <c r="B99">
        <v>1969.067</v>
      </c>
      <c r="C99">
        <v>29366.94</v>
      </c>
      <c r="D99">
        <v>7844.01</v>
      </c>
      <c r="E99">
        <v>8630.3880000000008</v>
      </c>
      <c r="F99">
        <v>26388.44</v>
      </c>
      <c r="G99">
        <v>16081.4</v>
      </c>
      <c r="H99">
        <v>7444.25</v>
      </c>
      <c r="I99">
        <v>2843.9319999999998</v>
      </c>
      <c r="J99">
        <v>13212.96</v>
      </c>
      <c r="K99">
        <v>10325.35</v>
      </c>
      <c r="L99">
        <v>1010.12</v>
      </c>
      <c r="M99">
        <v>8007.97</v>
      </c>
      <c r="N99">
        <v>49480.7</v>
      </c>
      <c r="O99">
        <v>63272.11</v>
      </c>
      <c r="P99">
        <v>5861.07</v>
      </c>
      <c r="Q99">
        <v>17654.900000000001</v>
      </c>
      <c r="R99">
        <v>24136.81</v>
      </c>
    </row>
    <row r="100" spans="1:18">
      <c r="A100" s="25">
        <v>46156</v>
      </c>
      <c r="B100">
        <v>1986.704</v>
      </c>
      <c r="C100">
        <v>29580.3</v>
      </c>
      <c r="D100">
        <v>7981.41</v>
      </c>
      <c r="E100">
        <v>8640.7139999999999</v>
      </c>
      <c r="F100">
        <v>26389.040000000001</v>
      </c>
      <c r="G100">
        <v>15866.52</v>
      </c>
      <c r="H100">
        <v>7501.24</v>
      </c>
      <c r="I100">
        <v>2863.0859999999998</v>
      </c>
      <c r="J100" t="e">
        <v>#N/A</v>
      </c>
      <c r="K100">
        <v>10372.93</v>
      </c>
      <c r="L100">
        <v>1021.54</v>
      </c>
      <c r="M100">
        <v>8082.27</v>
      </c>
      <c r="N100">
        <v>50050.27</v>
      </c>
      <c r="O100">
        <v>62654.05</v>
      </c>
      <c r="P100">
        <v>5934.96</v>
      </c>
      <c r="Q100">
        <v>17809.2</v>
      </c>
      <c r="R100">
        <v>24456.26</v>
      </c>
    </row>
    <row r="101" spans="1:18">
      <c r="A101" s="25">
        <v>46157</v>
      </c>
      <c r="B101">
        <v>1967.748</v>
      </c>
      <c r="C101">
        <v>29125.200000000001</v>
      </c>
      <c r="D101">
        <v>7493.18</v>
      </c>
      <c r="E101">
        <v>8630.8430000000008</v>
      </c>
      <c r="F101">
        <v>25962.73</v>
      </c>
      <c r="G101">
        <v>15699.73</v>
      </c>
      <c r="H101">
        <v>7408.5</v>
      </c>
      <c r="I101">
        <v>2793.299</v>
      </c>
      <c r="J101">
        <v>13220.17</v>
      </c>
      <c r="K101">
        <v>10195.370000000001</v>
      </c>
      <c r="L101">
        <v>1010.44</v>
      </c>
      <c r="M101">
        <v>7952.55</v>
      </c>
      <c r="N101">
        <v>49116.47</v>
      </c>
      <c r="O101">
        <v>61409.29</v>
      </c>
      <c r="P101">
        <v>5827.76</v>
      </c>
      <c r="Q101">
        <v>17622.7</v>
      </c>
      <c r="R101">
        <v>23950.57</v>
      </c>
    </row>
    <row r="102" spans="1:18">
      <c r="A102" s="25">
        <v>46160</v>
      </c>
      <c r="B102" t="e">
        <v>#N/A</v>
      </c>
      <c r="C102">
        <v>28994.37</v>
      </c>
      <c r="D102">
        <v>7516.04</v>
      </c>
      <c r="E102">
        <v>8505.3109999999997</v>
      </c>
      <c r="F102">
        <v>25675.18</v>
      </c>
      <c r="G102">
        <v>15559.99</v>
      </c>
      <c r="H102">
        <v>7403.05</v>
      </c>
      <c r="I102">
        <v>2775.1019999999999</v>
      </c>
      <c r="J102">
        <v>13240.7</v>
      </c>
      <c r="K102">
        <v>10323.75</v>
      </c>
      <c r="L102">
        <v>1015.72</v>
      </c>
      <c r="M102">
        <v>7987.49</v>
      </c>
      <c r="N102">
        <v>48669.05</v>
      </c>
      <c r="O102">
        <v>60815.95</v>
      </c>
      <c r="P102">
        <v>5849</v>
      </c>
      <c r="Q102">
        <v>17755.099999999999</v>
      </c>
      <c r="R102">
        <v>24307.919999999998</v>
      </c>
    </row>
    <row r="103" spans="1:18">
      <c r="A103" s="25">
        <v>46161</v>
      </c>
      <c r="B103" t="e">
        <v>#N/A</v>
      </c>
      <c r="C103" t="e">
        <v>#N/A</v>
      </c>
      <c r="D103">
        <v>7265.56</v>
      </c>
      <c r="E103">
        <v>8586.2999999999993</v>
      </c>
      <c r="F103">
        <v>25748.2</v>
      </c>
      <c r="G103">
        <v>15458.13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>
        <v>60617.67</v>
      </c>
      <c r="P103" t="e">
        <v>#N/A</v>
      </c>
      <c r="Q103" t="e">
        <v>#N/A</v>
      </c>
      <c r="R103" t="e">
        <v>#N/A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Macro_GDP</vt:lpstr>
      <vt:lpstr>Macro_CPI</vt:lpstr>
      <vt:lpstr>Macro_Fiscal</vt:lpstr>
      <vt:lpstr>Rates_10Y</vt:lpstr>
      <vt:lpstr>Equity_ToT</vt:lpstr>
      <vt:lpstr>Equity_FCI</vt:lpstr>
      <vt:lpstr>Equity_EPS</vt:lpstr>
      <vt:lpstr>Equity_Prices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Bloomberg</cp:lastModifiedBy>
  <dcterms:created xsi:type="dcterms:W3CDTF">2026-05-12T05:04:10Z</dcterms:created>
  <dcterms:modified xsi:type="dcterms:W3CDTF">2026-05-19T05:16:49Z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